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6930" activeTab="3"/>
  </bookViews>
  <sheets>
    <sheet name="Movies" sheetId="1" r:id="rId1"/>
    <sheet name="Series" sheetId="2" r:id="rId2"/>
    <sheet name="Chart 1" sheetId="5" r:id="rId3"/>
    <sheet name="Chart 2" sheetId="13" r:id="rId4"/>
  </sheets>
  <calcPr calcId="162913"/>
  <pivotCaches>
    <pivotCache cacheId="6" r:id="rId5"/>
    <pivotCache cacheId="14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6" i="1" l="1"/>
  <c r="C24" i="2"/>
  <c r="F17" i="2"/>
  <c r="F18" i="2"/>
  <c r="F19" i="2"/>
  <c r="F16" i="2"/>
  <c r="C23" i="2"/>
  <c r="C17" i="2"/>
  <c r="C18" i="2"/>
  <c r="C19" i="2"/>
  <c r="C16" i="2"/>
  <c r="C20" i="2" s="1"/>
  <c r="K15" i="1"/>
  <c r="K4" i="1"/>
  <c r="K5" i="1"/>
  <c r="K6" i="1"/>
  <c r="K7" i="1"/>
  <c r="K8" i="1"/>
  <c r="K9" i="1"/>
  <c r="K10" i="1"/>
  <c r="K11" i="1"/>
  <c r="K12" i="1"/>
  <c r="K13" i="1"/>
  <c r="K3" i="1"/>
  <c r="C21" i="2" l="1"/>
</calcChain>
</file>

<file path=xl/sharedStrings.xml><?xml version="1.0" encoding="utf-8"?>
<sst xmlns="http://schemas.openxmlformats.org/spreadsheetml/2006/main" count="281" uniqueCount="195">
  <si>
    <t>SNO</t>
  </si>
  <si>
    <t>Description</t>
  </si>
  <si>
    <t>Movie Title</t>
  </si>
  <si>
    <t>Release Date</t>
  </si>
  <si>
    <t>Dune Part Two</t>
  </si>
  <si>
    <t>Pushpa 2</t>
  </si>
  <si>
    <t>Oppenheimer</t>
  </si>
  <si>
    <t>Dhurandhar</t>
  </si>
  <si>
    <t>Zootopia 2</t>
  </si>
  <si>
    <t>War 2</t>
  </si>
  <si>
    <t>Sitare Zameen Par</t>
  </si>
  <si>
    <t>Sinners</t>
  </si>
  <si>
    <t>Avatar Fire &amp; Ash</t>
  </si>
  <si>
    <t>War</t>
  </si>
  <si>
    <t>Dangal</t>
  </si>
  <si>
    <t>PK</t>
  </si>
  <si>
    <t>Chennai Express</t>
  </si>
  <si>
    <t>Khuda Kay Liye</t>
  </si>
  <si>
    <t>Bol</t>
  </si>
  <si>
    <t>Maula Jutt</t>
  </si>
  <si>
    <t>Teefa In Trouble</t>
  </si>
  <si>
    <t>Parwaaz Hai Junoon</t>
  </si>
  <si>
    <t xml:space="preserve">Interstellar </t>
  </si>
  <si>
    <t>Joker</t>
  </si>
  <si>
    <t>Ford v Ferarri</t>
  </si>
  <si>
    <t>Avengers:Infinity War</t>
  </si>
  <si>
    <t>Inside Out 2</t>
  </si>
  <si>
    <t>KGF Chapter 1</t>
  </si>
  <si>
    <t>Avengers:Endgame</t>
  </si>
  <si>
    <t>Jawan</t>
  </si>
  <si>
    <t>Fast &amp; Furious 7</t>
  </si>
  <si>
    <t>Mission Impossible</t>
  </si>
  <si>
    <t>The Conjuring</t>
  </si>
  <si>
    <t>The Ring</t>
  </si>
  <si>
    <t>Sinister</t>
  </si>
  <si>
    <t>Tumbbad</t>
  </si>
  <si>
    <t>The Witch</t>
  </si>
  <si>
    <t>The Mummy</t>
  </si>
  <si>
    <t>HTTY Dragon 3</t>
  </si>
  <si>
    <t>Bahubali 2</t>
  </si>
  <si>
    <t>King Kong</t>
  </si>
  <si>
    <t>Jurassic World</t>
  </si>
  <si>
    <t>Hera Pheri</t>
  </si>
  <si>
    <t>Home Alone</t>
  </si>
  <si>
    <t>Chup Chup Ke</t>
  </si>
  <si>
    <t>Dhamaal</t>
  </si>
  <si>
    <t>Golmaal</t>
  </si>
  <si>
    <t>Genre</t>
  </si>
  <si>
    <t>Rating (Rotten Tomatoes)</t>
  </si>
  <si>
    <t>Rating (IMDb)</t>
  </si>
  <si>
    <t>N/A</t>
  </si>
  <si>
    <t>Paul unites with the Fremen for revenge while choosing between love and destiny.</t>
  </si>
  <si>
    <t>Pushpa expands his syndicate while battling new enemies and rival SP Bhanwar Singh.</t>
  </si>
  <si>
    <t>Biographical thriller tracking J. Robert Oppenheimer's role in creating the atomic bomb.</t>
  </si>
  <si>
    <t>Upcoming spy-action thriller involving high-stakes cross-border espionage missions.</t>
  </si>
  <si>
    <t>Judy and Nick return to solve a new mystery in the mammal metropolis.</t>
  </si>
  <si>
    <t>RAW agent Kabir faces a deadly new antagonist in this spy thriller sequel.</t>
  </si>
  <si>
    <t>A coach trains a team of players with intellectual disabilities in this sports drama.</t>
  </si>
  <si>
    <t>Twin brothers return home to face an ancient evil in this horror thriller.</t>
  </si>
  <si>
    <t>Jake and Neytiri encounter the aggressive "Ash People" fire clan.</t>
  </si>
  <si>
    <t>An Indian soldier chases his rogue mentor in a global deadly game.</t>
  </si>
  <si>
    <t>A father trains his daughters to become world-class wrestlers, defying social norms.</t>
  </si>
  <si>
    <t>An alien challenges religious dogmas while searching for his lost remote.</t>
  </si>
  <si>
    <t>A journey with ashes turns chaotic involving a runaway bride and a local don.</t>
  </si>
  <si>
    <t>Two brothers' lives diverge as they grapple with fundamentalism vs. modern life.</t>
  </si>
  <si>
    <t>A family drama challenging patriarchal norms and taboos in a conservative household.</t>
  </si>
  <si>
    <t>A fierce gladiator seeks vengeance against his nemesis Noori Natt.</t>
  </si>
  <si>
    <t>A gangster's enforcer causes chaos in Poland while kidnapping a girl.</t>
  </si>
  <si>
    <t>A tribute to the Pakistan Air Force following the lives of fighter pilots.</t>
  </si>
  <si>
    <t>Explorers travel through a wormhole to save humanity from a dying Earth.</t>
  </si>
  <si>
    <t>A failed comedian descends into madness, becoming Gotham's criminal mastermind.</t>
  </si>
  <si>
    <t>Carroll Shelby and Ken Miles build a car to defeat Ferrari at Le Mans.</t>
  </si>
  <si>
    <t>The Avengers risk everything to stop Thanos from destroying half the universe.</t>
  </si>
  <si>
    <t>Teenager Riley navigates new emotions like Anxiety during puberty.</t>
  </si>
  <si>
    <t>A young man rises to control gold fields, fulfilling a promise to his mother.</t>
  </si>
  <si>
    <t>Surviving Avengers attempt a time heist to reverse Thanos' snap.</t>
  </si>
  <si>
    <t>A vigilante hijacks a metro train to correct societal wrongs.</t>
  </si>
  <si>
    <t>Dom's crew faces a vengeful assassin in one last ride.</t>
  </si>
  <si>
    <t>Ethan Hunt's team races to stop global catastrophes while often disavowed.</t>
  </si>
  <si>
    <t>Paranormal investigators help a family terrorized by a dark farmhouse presence.</t>
  </si>
  <si>
    <t>A journalist investigates a cursed videotape that kills viewers in seven days.</t>
  </si>
  <si>
    <t>A writer finds home movies depicting gruesome murders, endangering his family.</t>
  </si>
  <si>
    <t>A man's greed for cursed gold leads to a confrontation with a demon god.</t>
  </si>
  <si>
    <t>A 1630s family is torn apart by witchcraft and dark forces.</t>
  </si>
  <si>
    <t>An ancient priest is resurrected, unleashing a curse on a 1920s expedition.</t>
  </si>
  <si>
    <t>Hiccup and Toothless find a dragon utopia and face a new hunter threat.</t>
  </si>
  <si>
    <t>Mahendra fights to reclaim his throne after learning his father's tragic past.</t>
  </si>
  <si>
    <t>A film crew brings a giant ape to NYC, leading to tragic chaos.</t>
  </si>
  <si>
    <t>A hybrid dinosaur escapes containment, causing chaos at a new theme park.</t>
  </si>
  <si>
    <t>Three men get involved in a kidnapping scheme after a wrong number call.</t>
  </si>
  <si>
    <t>An 8-year-old defends his home from burglars after being left behind.</t>
  </si>
  <si>
    <t>A man fakes a disability to escape debt, finding romance and confusion.</t>
  </si>
  <si>
    <t>Four friends embark on a chaotic race to find hidden money in Goa.</t>
  </si>
  <si>
    <t>Four crooks hide in a blind couple's home, causing hilarious confusion.</t>
  </si>
  <si>
    <t>December 5, 2024</t>
  </si>
  <si>
    <t>December 5, 2025</t>
  </si>
  <si>
    <t>August 14, 2025</t>
  </si>
  <si>
    <t>June 20, 2025</t>
  </si>
  <si>
    <t>April 18, 2025</t>
  </si>
  <si>
    <t>December 19, 2025</t>
  </si>
  <si>
    <t>October 2, 2019</t>
  </si>
  <si>
    <t>December 23, 2016</t>
  </si>
  <si>
    <t>December 19, 2014</t>
  </si>
  <si>
    <t>July 20, 2007</t>
  </si>
  <si>
    <t>June 24, 2011</t>
  </si>
  <si>
    <t>October 13, 2022</t>
  </si>
  <si>
    <t>July 20, 2018</t>
  </si>
  <si>
    <t>August 22, 2018</t>
  </si>
  <si>
    <t>September 7, 2023</t>
  </si>
  <si>
    <t>October 18, 2002</t>
  </si>
  <si>
    <t>October 12, 2018</t>
  </si>
  <si>
    <t>May 7, 1999</t>
  </si>
  <si>
    <t>April 28, 2017</t>
  </si>
  <si>
    <t>March 31, 2000</t>
  </si>
  <si>
    <t>June 9, 2006</t>
  </si>
  <si>
    <t>September 7, 2007</t>
  </si>
  <si>
    <t>July 14, 2006</t>
  </si>
  <si>
    <t>Science Fiction</t>
  </si>
  <si>
    <t>February 6, 2024</t>
  </si>
  <si>
    <t>Action</t>
  </si>
  <si>
    <t>Thriller</t>
  </si>
  <si>
    <t>July 11, 2023</t>
  </si>
  <si>
    <t xml:space="preserve">Action </t>
  </si>
  <si>
    <t>Drama</t>
  </si>
  <si>
    <t>Adventure</t>
  </si>
  <si>
    <t>November 13, 2025</t>
  </si>
  <si>
    <t>Comedy</t>
  </si>
  <si>
    <t>Horror</t>
  </si>
  <si>
    <t>Sport</t>
  </si>
  <si>
    <t>August 9, 2013</t>
  </si>
  <si>
    <t>October 26, 2014</t>
  </si>
  <si>
    <t>Mystery</t>
  </si>
  <si>
    <t>August 31, 2019</t>
  </si>
  <si>
    <t>History</t>
  </si>
  <si>
    <t>August 3, 2019</t>
  </si>
  <si>
    <t>April 23, 2018</t>
  </si>
  <si>
    <t>Animation</t>
  </si>
  <si>
    <t>June 10, 2024</t>
  </si>
  <si>
    <t>December 20, 2018</t>
  </si>
  <si>
    <t>April 22, 2019</t>
  </si>
  <si>
    <t>April 1, 2015</t>
  </si>
  <si>
    <t>June 19, 2023</t>
  </si>
  <si>
    <t>September 5, 2025</t>
  </si>
  <si>
    <t>March 11, 2012</t>
  </si>
  <si>
    <t>January 27, 2015</t>
  </si>
  <si>
    <t>January 3, 2019</t>
  </si>
  <si>
    <t>December 5, 2005</t>
  </si>
  <si>
    <t>May 29, 2015</t>
  </si>
  <si>
    <t>November 10, 1990</t>
  </si>
  <si>
    <t>Price</t>
  </si>
  <si>
    <t>Breaking Bad</t>
  </si>
  <si>
    <t>Stranger Things</t>
  </si>
  <si>
    <t>Mirzapur</t>
  </si>
  <si>
    <t>Kota Factory</t>
  </si>
  <si>
    <t>Scam 1992</t>
  </si>
  <si>
    <t>Squid Game 2</t>
  </si>
  <si>
    <t>Alice In Borderland</t>
  </si>
  <si>
    <t>Sacred Games</t>
  </si>
  <si>
    <t>Money Heist</t>
  </si>
  <si>
    <t>The Family Man</t>
  </si>
  <si>
    <t>Crime</t>
  </si>
  <si>
    <t>Fantasy</t>
  </si>
  <si>
    <t>Biography</t>
  </si>
  <si>
    <t>January 20, 2008</t>
  </si>
  <si>
    <t>July 15, 2016</t>
  </si>
  <si>
    <t>November 16, 2018</t>
  </si>
  <si>
    <t>April 16, 2019</t>
  </si>
  <si>
    <t>October 9, 2020</t>
  </si>
  <si>
    <t>December 26, 2024</t>
  </si>
  <si>
    <t>December 10, 2020</t>
  </si>
  <si>
    <t>July 5, 2018</t>
  </si>
  <si>
    <t>May 2, 2017</t>
  </si>
  <si>
    <t>September 20, 2019</t>
  </si>
  <si>
    <t>A chemistry teacher turns to cooking meth to secure his family's future, descending into a life of crime.</t>
  </si>
  <si>
    <t>A group of kids uncovers supernatural mysteries and secret government experiments in their small town.</t>
  </si>
  <si>
    <t>A violent crime drama about power struggles and betrayal in the underworld of India.</t>
  </si>
  <si>
    <t>Follows a teen’s life in Kota, India, while preparing for the pressure of tough entrance exams.</t>
  </si>
  <si>
    <t>The true story of Harshad Mehta’s stock market scam that shocked India in the 1990s.</t>
  </si>
  <si>
    <t>Contestants face deadly children's games for a life-changing cash prize with even higher risks.</t>
  </si>
  <si>
    <t>A group of friends is trapped in a deadly game world, where survival depends on winning challenges.</t>
  </si>
  <si>
    <t>A cop uncovers crime, corruption, and conspiracies in the dangerous underworld of Mumbai.</t>
  </si>
  <si>
    <t>A mastermind and his team plan a heist on the Royal Mint of Spain, facing dangerous challenges.</t>
  </si>
  <si>
    <t>A man juggles his role as a secret intelligence officer with his personal life and family.</t>
  </si>
  <si>
    <t>Count</t>
  </si>
  <si>
    <t>Average Ratings (IMDb)</t>
  </si>
  <si>
    <t>Average Ratings (RT)</t>
  </si>
  <si>
    <t>Sum</t>
  </si>
  <si>
    <t>Min</t>
  </si>
  <si>
    <t>Max</t>
  </si>
  <si>
    <t>Average</t>
  </si>
  <si>
    <t>Values</t>
  </si>
  <si>
    <t>Grand Total</t>
  </si>
  <si>
    <t>Row Labels</t>
  </si>
  <si>
    <t>Count of Rating (Rotten Tomatoes)</t>
  </si>
  <si>
    <t>Count of Movie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</si>
</sst>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&quot;Rs&quot;* #,##0_-;\-&quot;Rs&quot;* #,##0_-;_-&quot;Rs&quot;* &quot;-&quot;??_-;_-@_-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9" fontId="0" fillId="0" borderId="1" xfId="0" applyNumberFormat="1" applyBorder="1" applyAlignment="1">
      <alignment horizontal="center"/>
    </xf>
    <xf numFmtId="0" fontId="1" fillId="0" borderId="2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164" fontId="0" fillId="0" borderId="1" xfId="0" applyNumberFormat="1" applyBorder="1"/>
    <xf numFmtId="0" fontId="0" fillId="0" borderId="0" xfId="0" applyBorder="1"/>
    <xf numFmtId="0" fontId="0" fillId="0" borderId="0" xfId="0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6" fillId="0" borderId="1" xfId="0" applyFont="1" applyBorder="1"/>
    <xf numFmtId="9" fontId="0" fillId="0" borderId="1" xfId="1" applyNumberFormat="1" applyFont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16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[cinestop.xlsx]Chart 1!PivotTable1</c:name>
    <c:fmtId val="2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'Chart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1'!$A$4:$A$16</c:f>
              <c:strCache>
                <c:ptCount val="12"/>
                <c:pt idx="0">
                  <c:v>Action</c:v>
                </c:pt>
                <c:pt idx="1">
                  <c:v>Action </c:v>
                </c:pt>
                <c:pt idx="2">
                  <c:v>Adventure</c:v>
                </c:pt>
                <c:pt idx="3">
                  <c:v>Animation</c:v>
                </c:pt>
                <c:pt idx="4">
                  <c:v>Comedy</c:v>
                </c:pt>
                <c:pt idx="5">
                  <c:v>Drama</c:v>
                </c:pt>
                <c:pt idx="6">
                  <c:v>History</c:v>
                </c:pt>
                <c:pt idx="7">
                  <c:v>Horror</c:v>
                </c:pt>
                <c:pt idx="8">
                  <c:v>Mystery</c:v>
                </c:pt>
                <c:pt idx="9">
                  <c:v>Science Fiction</c:v>
                </c:pt>
                <c:pt idx="10">
                  <c:v>Sport</c:v>
                </c:pt>
                <c:pt idx="11">
                  <c:v>Thriller</c:v>
                </c:pt>
              </c:strCache>
            </c:strRef>
          </c:cat>
          <c:val>
            <c:numRef>
              <c:f>'Chart 1'!$B$4:$B$16</c:f>
              <c:numCache>
                <c:formatCode>General</c:formatCode>
                <c:ptCount val="12"/>
                <c:pt idx="0">
                  <c:v>12</c:v>
                </c:pt>
                <c:pt idx="1">
                  <c:v>1</c:v>
                </c:pt>
                <c:pt idx="2">
                  <c:v>7</c:v>
                </c:pt>
                <c:pt idx="3">
                  <c:v>1</c:v>
                </c:pt>
                <c:pt idx="4">
                  <c:v>8</c:v>
                </c:pt>
                <c:pt idx="5">
                  <c:v>2</c:v>
                </c:pt>
                <c:pt idx="6">
                  <c:v>1</c:v>
                </c:pt>
                <c:pt idx="7">
                  <c:v>6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53-4883-9395-3839FB62510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1408440703"/>
        <c:axId val="1408461503"/>
        <c:axId val="0"/>
      </c:bar3DChart>
      <c:catAx>
        <c:axId val="140844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461503"/>
        <c:crosses val="autoZero"/>
        <c:auto val="1"/>
        <c:lblAlgn val="ctr"/>
        <c:lblOffset val="100"/>
        <c:noMultiLvlLbl val="0"/>
      </c:catAx>
      <c:valAx>
        <c:axId val="14084615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0844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[cinestop.xlsx]Chart 2!PivotTable3</c:name>
    <c:fmtId val="2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layout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xForSave val="1"/>
            </c:ext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xForSave val="1"/>
            </c:ext>
          </c:extLst>
        </c:dLbl>
      </c:pivotFmt>
      <c:pivotFmt>
        <c:idx val="6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xForSave val="1"/>
            </c:ext>
          </c:extLst>
        </c:dLbl>
      </c:pivotFmt>
      <c:pivotFmt>
        <c:idx val="7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xForSave val="1"/>
            </c:ext>
          </c:extLst>
        </c:dLbl>
      </c:pivotFmt>
      <c:pivotFmt>
        <c:idx val="8"/>
        <c:spPr>
          <a:solidFill>
            <a:schemeClr val="accent5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xForSave val="1"/>
            </c:ext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xForSave val="1"/>
            </c:ext>
          </c:extLst>
        </c:dLbl>
      </c:pivotFmt>
      <c:pivotFmt>
        <c:idx val="10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xForSave val="1"/>
            </c:ext>
          </c:extLst>
        </c:dLbl>
      </c:pivotFmt>
      <c:pivotFmt>
        <c:idx val="11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xForSave val="1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4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5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6"/>
        <c:spPr>
          <a:solidFill>
            <a:schemeClr val="accent5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7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8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9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'Chart 2'!$B$3</c:f>
              <c:strCache>
                <c:ptCount val="1"/>
                <c:pt idx="0">
                  <c:v>Count of Movie Title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348B-4755-82A5-B772E91227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348B-4755-82A5-B772E91227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348B-4755-82A5-B772E912279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348B-4755-82A5-B772E912279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348B-4755-82A5-B772E912279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348B-4755-82A5-B772E912279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348B-4755-82A5-B772E912279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348B-4755-82A5-B772E912279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348B-4755-82A5-B772E912279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348B-4755-82A5-B772E912279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348B-4755-82A5-B772E912279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348B-4755-82A5-B772E9122791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348B-4755-82A5-B772E9122791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348B-4755-82A5-B772E9122791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348B-4755-82A5-B772E9122791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348B-4755-82A5-B772E91227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'Chart 2'!$A$4:$A$12</c:f>
              <c:strCache>
                <c:ptCount val="8"/>
                <c:pt idx="0">
                  <c:v>7.8</c:v>
                </c:pt>
                <c:pt idx="1">
                  <c:v>8</c:v>
                </c:pt>
                <c:pt idx="2">
                  <c:v>8.2</c:v>
                </c:pt>
                <c:pt idx="3">
                  <c:v>8.5</c:v>
                </c:pt>
                <c:pt idx="4">
                  <c:v>8.7</c:v>
                </c:pt>
                <c:pt idx="5">
                  <c:v>9</c:v>
                </c:pt>
                <c:pt idx="6">
                  <c:v>9.3</c:v>
                </c:pt>
                <c:pt idx="7">
                  <c:v>9.5</c:v>
                </c:pt>
              </c:strCache>
            </c:strRef>
          </c:cat>
          <c:val>
            <c:numRef>
              <c:f>'Chart 2'!$B$4:$B$12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8B-4755-82A5-B772E9122791}"/>
            </c:ext>
          </c:extLst>
        </c:ser>
        <c:ser>
          <c:idx val="1"/>
          <c:order val="1"/>
          <c:tx>
            <c:strRef>
              <c:f>'Chart 2'!$C$3</c:f>
              <c:strCache>
                <c:ptCount val="1"/>
                <c:pt idx="0">
                  <c:v>Count of Rating (Rotten Tomatoes)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A-348B-4755-82A5-B772E91227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348B-4755-82A5-B772E91227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C-348B-4755-82A5-B772E912279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348B-4755-82A5-B772E912279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E-348B-4755-82A5-B772E912279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348B-4755-82A5-B772E912279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0-348B-4755-82A5-B772E912279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348B-4755-82A5-B772E912279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348B-4755-82A5-B772E912279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348B-4755-82A5-B772E912279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348B-4755-82A5-B772E912279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348B-4755-82A5-B772E9122791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E-348B-4755-82A5-B772E9122791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348B-4755-82A5-B772E9122791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348B-4755-82A5-B772E9122791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348B-4755-82A5-B772E91227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 2'!$A$4:$A$12</c:f>
              <c:strCache>
                <c:ptCount val="8"/>
                <c:pt idx="0">
                  <c:v>7.8</c:v>
                </c:pt>
                <c:pt idx="1">
                  <c:v>8</c:v>
                </c:pt>
                <c:pt idx="2">
                  <c:v>8.2</c:v>
                </c:pt>
                <c:pt idx="3">
                  <c:v>8.5</c:v>
                </c:pt>
                <c:pt idx="4">
                  <c:v>8.7</c:v>
                </c:pt>
                <c:pt idx="5">
                  <c:v>9</c:v>
                </c:pt>
                <c:pt idx="6">
                  <c:v>9.3</c:v>
                </c:pt>
                <c:pt idx="7">
                  <c:v>9.5</c:v>
                </c:pt>
              </c:strCache>
            </c:strRef>
          </c:cat>
          <c:val>
            <c:numRef>
              <c:f>'Chart 2'!$C$4:$C$12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8B-4755-82A5-B772E91227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1</xdr:row>
      <xdr:rowOff>174625</xdr:rowOff>
    </xdr:from>
    <xdr:to>
      <xdr:col>7</xdr:col>
      <xdr:colOff>615950</xdr:colOff>
      <xdr:row>16</xdr:row>
      <xdr:rowOff>155575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195179</xdr:colOff>
      <xdr:row>2</xdr:row>
      <xdr:rowOff>22893</xdr:rowOff>
    </xdr:from>
    <xdr:to>
      <xdr:col>13</xdr:col>
      <xdr:colOff>430129</xdr:colOff>
      <xdr:row>17</xdr:row>
      <xdr:rowOff>835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022.541454050923" createdVersion="6" refreshedVersion="6" minRefreshableVersion="3" recordCount="43">
  <cacheSource type="worksheet">
    <worksheetSource ref="A3:G46" sheet="Movies"/>
  </cacheSource>
  <cacheFields count="7">
    <cacheField name="SNO" numFmtId="0">
      <sharedItems containsSemiMixedTypes="0" containsString="0" containsNumber="1" containsInteger="1" minValue="1" maxValue="43" count="4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</sharedItems>
    </cacheField>
    <cacheField name="Movie Title" numFmtId="0">
      <sharedItems count="43">
        <s v="Dune Part Two"/>
        <s v="Pushpa 2"/>
        <s v="Oppenheimer"/>
        <s v="Dhurandhar"/>
        <s v="Zootopia 2"/>
        <s v="War 2"/>
        <s v="Sitare Zameen Par"/>
        <s v="Sinners"/>
        <s v="Avatar Fire &amp; Ash"/>
        <s v="War"/>
        <s v="Dangal"/>
        <s v="PK"/>
        <s v="Chennai Express"/>
        <s v="Khuda Kay Liye"/>
        <s v="Bol"/>
        <s v="Maula Jutt"/>
        <s v="Teefa In Trouble"/>
        <s v="Parwaaz Hai Junoon"/>
        <s v="Interstellar "/>
        <s v="Joker"/>
        <s v="Ford v Ferarri"/>
        <s v="Avengers:Infinity War"/>
        <s v="Inside Out 2"/>
        <s v="KGF Chapter 1"/>
        <s v="Avengers:Endgame"/>
        <s v="Jawan"/>
        <s v="Fast &amp; Furious 7"/>
        <s v="Mission Impossible"/>
        <s v="The Conjuring"/>
        <s v="The Ring"/>
        <s v="Sinister"/>
        <s v="Tumbbad"/>
        <s v="The Witch"/>
        <s v="The Mummy"/>
        <s v="HTTY Dragon 3"/>
        <s v="Bahubali 2"/>
        <s v="King Kong"/>
        <s v="Jurassic World"/>
        <s v="Hera Pheri"/>
        <s v="Home Alone"/>
        <s v="Chup Chup Ke"/>
        <s v="Dhamaal"/>
        <s v="Golmaal"/>
      </sharedItems>
    </cacheField>
    <cacheField name="Genre" numFmtId="0">
      <sharedItems count="12">
        <s v="Science Fiction"/>
        <s v="Action"/>
        <s v="Thriller"/>
        <s v="Action "/>
        <s v="Adventure"/>
        <s v="Comedy"/>
        <s v="Horror"/>
        <s v="Sport"/>
        <s v="Drama"/>
        <s v="Mystery"/>
        <s v="History"/>
        <s v="Animation"/>
      </sharedItems>
    </cacheField>
    <cacheField name="Rating (IMDb)" numFmtId="0">
      <sharedItems containsSemiMixedTypes="0" containsString="0" containsNumber="1" minValue="5.4" maxValue="8.6999999999999993" count="21">
        <n v="8.4"/>
        <n v="6.1"/>
        <n v="8.1999999999999993"/>
        <n v="7.8"/>
        <n v="7.6"/>
        <n v="7.7"/>
        <n v="7.9"/>
        <n v="8"/>
        <n v="6.6"/>
        <n v="8.3000000000000007"/>
        <n v="8.1"/>
        <n v="7"/>
        <n v="7.5"/>
        <n v="8.6999999999999993"/>
        <n v="6.9"/>
        <n v="7.2"/>
        <n v="7.3"/>
        <n v="7.1"/>
        <n v="6.8"/>
        <n v="5.4"/>
        <n v="5.9"/>
      </sharedItems>
    </cacheField>
    <cacheField name="Rating (Rotten Tomatoes)" numFmtId="0">
      <sharedItems containsMixedTypes="1" containsNumber="1" minValue="0.43" maxValue="0.97"/>
    </cacheField>
    <cacheField name="Release Date" numFmtId="0">
      <sharedItems count="43">
        <s v="February 6, 2024"/>
        <s v="December 5, 2024"/>
        <s v="July 11, 2023"/>
        <s v="December 5, 2025"/>
        <s v="November 13, 2025"/>
        <s v="August 14, 2025"/>
        <s v="June 20, 2025"/>
        <s v="April 18, 2025"/>
        <s v="December 19, 2025"/>
        <s v="October 2, 2019"/>
        <s v="December 23, 2016"/>
        <s v="December 19, 2014"/>
        <s v="August 9, 2013"/>
        <s v="July 20, 2007"/>
        <s v="June 24, 2011"/>
        <s v="October 13, 2022"/>
        <s v="July 20, 2018"/>
        <s v="August 22, 2018"/>
        <s v="October 26, 2014"/>
        <s v="August 31, 2019"/>
        <s v="August 3, 2019"/>
        <s v="April 23, 2018"/>
        <s v="June 10, 2024"/>
        <s v="December 20, 2018"/>
        <s v="April 22, 2019"/>
        <s v="September 7, 2023"/>
        <s v="April 1, 2015"/>
        <s v="June 19, 2023"/>
        <s v="September 5, 2025"/>
        <s v="October 18, 2002"/>
        <s v="March 11, 2012"/>
        <s v="October 12, 2018"/>
        <s v="January 27, 2015"/>
        <s v="May 7, 1999"/>
        <s v="January 3, 2019"/>
        <s v="April 28, 2017"/>
        <s v="December 5, 2005"/>
        <s v="May 29, 2015"/>
        <s v="March 31, 2000"/>
        <s v="November 10, 1990"/>
        <s v="June 9, 2006"/>
        <s v="September 7, 2007"/>
        <s v="July 14, 2006"/>
      </sharedItems>
    </cacheField>
    <cacheField name="Descrip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thor" refreshedDate="46022.556048726852" createdVersion="6" refreshedVersion="6" minRefreshableVersion="3" recordCount="10">
  <cacheSource type="worksheet">
    <worksheetSource ref="A2:H12" sheet="Series"/>
  </cacheSource>
  <cacheFields count="8">
    <cacheField name="SNO" numFmtId="0">
      <sharedItems containsSemiMixedTypes="0" containsString="0" containsNumber="1" containsInteger="1" minValue="1" maxValue="10"/>
    </cacheField>
    <cacheField name="Movie Title" numFmtId="0">
      <sharedItems/>
    </cacheField>
    <cacheField name="Genre" numFmtId="0">
      <sharedItems/>
    </cacheField>
    <cacheField name="Price" numFmtId="164">
      <sharedItems containsSemiMixedTypes="0" containsString="0" containsNumber="1" containsInteger="1" minValue="999" maxValue="2499"/>
    </cacheField>
    <cacheField name="Rating (IMDb)" numFmtId="0">
      <sharedItems containsSemiMixedTypes="0" containsString="0" containsNumber="1" minValue="7.8" maxValue="9.5" count="8">
        <n v="9.5"/>
        <n v="8.6999999999999993"/>
        <n v="8.5"/>
        <n v="9"/>
        <n v="9.3000000000000007"/>
        <n v="8"/>
        <n v="7.8"/>
        <n v="8.1999999999999993"/>
      </sharedItems>
    </cacheField>
    <cacheField name="Rating (Rotten Tomatoes)" numFmtId="0">
      <sharedItems containsMixedTypes="1" containsNumber="1" minValue="0.83" maxValue="1" count="8">
        <n v="0.96"/>
        <n v="0.91"/>
        <s v="N/A"/>
        <n v="0.95"/>
        <n v="0.83"/>
        <n v="0.92"/>
        <n v="0.94"/>
        <n v="1"/>
      </sharedItems>
    </cacheField>
    <cacheField name="Release Date" numFmtId="0">
      <sharedItems/>
    </cacheField>
    <cacheField name="Descrip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3">
  <r>
    <x v="0"/>
    <x v="0"/>
    <x v="0"/>
    <x v="0"/>
    <n v="0.97"/>
    <x v="0"/>
    <s v="Paul unites with the Fremen for revenge while choosing between love and destiny."/>
  </r>
  <r>
    <x v="1"/>
    <x v="1"/>
    <x v="1"/>
    <x v="1"/>
    <n v="0.76"/>
    <x v="1"/>
    <s v="Pushpa expands his syndicate while battling new enemies and rival SP Bhanwar Singh."/>
  </r>
  <r>
    <x v="2"/>
    <x v="2"/>
    <x v="2"/>
    <x v="2"/>
    <n v="0.96"/>
    <x v="2"/>
    <s v="Biographical thriller tracking J. Robert Oppenheimer's role in creating the atomic bomb."/>
  </r>
  <r>
    <x v="3"/>
    <x v="3"/>
    <x v="3"/>
    <x v="3"/>
    <s v="N/A"/>
    <x v="3"/>
    <s v="Upcoming spy-action thriller involving high-stakes cross-border espionage missions."/>
  </r>
  <r>
    <x v="4"/>
    <x v="4"/>
    <x v="4"/>
    <x v="4"/>
    <n v="0.91"/>
    <x v="4"/>
    <s v="Judy and Nick return to solve a new mystery in the mammal metropolis."/>
  </r>
  <r>
    <x v="5"/>
    <x v="5"/>
    <x v="1"/>
    <x v="5"/>
    <n v="0.57999999999999996"/>
    <x v="5"/>
    <s v="RAW agent Kabir faces a deadly new antagonist in this spy thriller sequel."/>
  </r>
  <r>
    <x v="6"/>
    <x v="6"/>
    <x v="5"/>
    <x v="6"/>
    <n v="0.65"/>
    <x v="6"/>
    <s v="A coach trains a team of players with intellectual disabilities in this sports drama."/>
  </r>
  <r>
    <x v="7"/>
    <x v="7"/>
    <x v="6"/>
    <x v="2"/>
    <n v="0.96"/>
    <x v="7"/>
    <s v="Twin brothers return home to face an ancient evil in this horror thriller."/>
  </r>
  <r>
    <x v="8"/>
    <x v="8"/>
    <x v="4"/>
    <x v="7"/>
    <n v="0.88"/>
    <x v="8"/>
    <s v="Jake and Neytiri encounter the aggressive &quot;Ash People&quot; fire clan."/>
  </r>
  <r>
    <x v="9"/>
    <x v="9"/>
    <x v="1"/>
    <x v="8"/>
    <n v="0.67"/>
    <x v="9"/>
    <s v="An Indian soldier chases his rogue mentor in a global deadly game."/>
  </r>
  <r>
    <x v="10"/>
    <x v="10"/>
    <x v="7"/>
    <x v="9"/>
    <n v="0.88"/>
    <x v="10"/>
    <s v="A father trains his daughters to become world-class wrestlers, defying social norms."/>
  </r>
  <r>
    <x v="11"/>
    <x v="11"/>
    <x v="5"/>
    <x v="10"/>
    <n v="0.78"/>
    <x v="11"/>
    <s v="An alien challenges religious dogmas while searching for his lost remote."/>
  </r>
  <r>
    <x v="12"/>
    <x v="12"/>
    <x v="5"/>
    <x v="1"/>
    <n v="0.53"/>
    <x v="12"/>
    <s v="A journey with ashes turns chaotic involving a runaway bride and a local don."/>
  </r>
  <r>
    <x v="13"/>
    <x v="13"/>
    <x v="8"/>
    <x v="9"/>
    <n v="0.89"/>
    <x v="13"/>
    <s v="Two brothers' lives diverge as they grapple with fundamentalism vs. modern life."/>
  </r>
  <r>
    <x v="14"/>
    <x v="14"/>
    <x v="8"/>
    <x v="2"/>
    <n v="0.88"/>
    <x v="14"/>
    <s v="A family drama challenging patriarchal norms and taboos in a conservative household."/>
  </r>
  <r>
    <x v="15"/>
    <x v="15"/>
    <x v="1"/>
    <x v="2"/>
    <n v="0.88"/>
    <x v="15"/>
    <s v="A fierce gladiator seeks vengeance against his nemesis Noori Natt."/>
  </r>
  <r>
    <x v="16"/>
    <x v="16"/>
    <x v="1"/>
    <x v="11"/>
    <n v="0.77"/>
    <x v="16"/>
    <s v="A gangster's enforcer causes chaos in Poland while kidnapping a girl."/>
  </r>
  <r>
    <x v="17"/>
    <x v="17"/>
    <x v="1"/>
    <x v="12"/>
    <n v="0.83"/>
    <x v="17"/>
    <s v="A tribute to the Pakistan Air Force following the lives of fighter pilots."/>
  </r>
  <r>
    <x v="18"/>
    <x v="18"/>
    <x v="0"/>
    <x v="13"/>
    <n v="0.73"/>
    <x v="18"/>
    <s v="Explorers travel through a wormhole to save humanity from a dying Earth."/>
  </r>
  <r>
    <x v="19"/>
    <x v="19"/>
    <x v="9"/>
    <x v="9"/>
    <n v="0.88"/>
    <x v="19"/>
    <s v="A failed comedian descends into madness, becoming Gotham's criminal mastermind."/>
  </r>
  <r>
    <x v="20"/>
    <x v="20"/>
    <x v="10"/>
    <x v="10"/>
    <n v="0.92"/>
    <x v="20"/>
    <s v="Carroll Shelby and Ken Miles build a car to defeat Ferrari at Le Mans."/>
  </r>
  <r>
    <x v="21"/>
    <x v="21"/>
    <x v="1"/>
    <x v="0"/>
    <n v="0.83"/>
    <x v="21"/>
    <s v="The Avengers risk everything to stop Thanos from destroying half the universe."/>
  </r>
  <r>
    <x v="22"/>
    <x v="22"/>
    <x v="11"/>
    <x v="12"/>
    <n v="0.92"/>
    <x v="22"/>
    <s v="Teenager Riley navigates new emotions like Anxiety during puberty."/>
  </r>
  <r>
    <x v="23"/>
    <x v="23"/>
    <x v="1"/>
    <x v="2"/>
    <n v="0.67"/>
    <x v="23"/>
    <s v="A young man rises to control gold fields, fulfilling a promise to his mother."/>
  </r>
  <r>
    <x v="24"/>
    <x v="24"/>
    <x v="1"/>
    <x v="0"/>
    <n v="0.94"/>
    <x v="24"/>
    <s v="Surviving Avengers attempt a time heist to reverse Thanos' snap."/>
  </r>
  <r>
    <x v="25"/>
    <x v="25"/>
    <x v="1"/>
    <x v="14"/>
    <n v="0.85"/>
    <x v="25"/>
    <s v="A vigilante hijacks a metro train to correct societal wrongs."/>
  </r>
  <r>
    <x v="26"/>
    <x v="26"/>
    <x v="1"/>
    <x v="10"/>
    <n v="0.81"/>
    <x v="26"/>
    <s v="Dom's crew faces a vengeful assassin in one last ride."/>
  </r>
  <r>
    <x v="27"/>
    <x v="27"/>
    <x v="1"/>
    <x v="15"/>
    <n v="0.96"/>
    <x v="27"/>
    <s v="Ethan Hunt's team races to stop global catastrophes while often disavowed."/>
  </r>
  <r>
    <x v="28"/>
    <x v="28"/>
    <x v="6"/>
    <x v="16"/>
    <n v="0.83"/>
    <x v="28"/>
    <s v="Paranormal investigators help a family terrorized by a dark farmhouse presence."/>
  </r>
  <r>
    <x v="29"/>
    <x v="29"/>
    <x v="6"/>
    <x v="17"/>
    <n v="0.71"/>
    <x v="29"/>
    <s v="A journalist investigates a cursed videotape that kills viewers in seven days."/>
  </r>
  <r>
    <x v="30"/>
    <x v="30"/>
    <x v="6"/>
    <x v="18"/>
    <n v="0.64"/>
    <x v="30"/>
    <s v="A writer finds home movies depicting gruesome murders, endangering his family."/>
  </r>
  <r>
    <x v="31"/>
    <x v="31"/>
    <x v="6"/>
    <x v="2"/>
    <n v="0.84"/>
    <x v="31"/>
    <s v="A man's greed for cursed gold leads to a confrontation with a demon god."/>
  </r>
  <r>
    <x v="32"/>
    <x v="32"/>
    <x v="6"/>
    <x v="11"/>
    <n v="0.81"/>
    <x v="32"/>
    <s v="A 1630s family is torn apart by witchcraft and dark forces."/>
  </r>
  <r>
    <x v="33"/>
    <x v="33"/>
    <x v="4"/>
    <x v="19"/>
    <n v="0.63"/>
    <x v="33"/>
    <s v="An ancient priest is resurrected, unleashing a curse on a 1920s expedition."/>
  </r>
  <r>
    <x v="34"/>
    <x v="34"/>
    <x v="4"/>
    <x v="3"/>
    <n v="0.9"/>
    <x v="34"/>
    <s v="Hiccup and Toothless find a dragon utopia and face a new hunter threat."/>
  </r>
  <r>
    <x v="35"/>
    <x v="35"/>
    <x v="4"/>
    <x v="7"/>
    <n v="0.97"/>
    <x v="35"/>
    <s v="Mahendra fights to reclaim his throne after learning his father's tragic past."/>
  </r>
  <r>
    <x v="36"/>
    <x v="36"/>
    <x v="4"/>
    <x v="15"/>
    <n v="0.97"/>
    <x v="36"/>
    <s v="A film crew brings a giant ape to NYC, leading to tragic chaos."/>
  </r>
  <r>
    <x v="37"/>
    <x v="37"/>
    <x v="4"/>
    <x v="20"/>
    <n v="0.5"/>
    <x v="37"/>
    <s v="A hybrid dinosaur escapes containment, causing chaos at a new theme park."/>
  </r>
  <r>
    <x v="38"/>
    <x v="38"/>
    <x v="5"/>
    <x v="2"/>
    <n v="0.43"/>
    <x v="38"/>
    <s v="Three men get involved in a kidnapping scheme after a wrong number call."/>
  </r>
  <r>
    <x v="39"/>
    <x v="39"/>
    <x v="5"/>
    <x v="5"/>
    <n v="0.8"/>
    <x v="39"/>
    <s v="An 8-year-old defends his home from burglars after being left behind."/>
  </r>
  <r>
    <x v="40"/>
    <x v="40"/>
    <x v="5"/>
    <x v="17"/>
    <n v="0.89"/>
    <x v="40"/>
    <s v="A man fakes a disability to escape debt, finding romance and confusion."/>
  </r>
  <r>
    <x v="41"/>
    <x v="41"/>
    <x v="5"/>
    <x v="12"/>
    <n v="0.67"/>
    <x v="41"/>
    <s v="Four friends embark on a chaotic race to find hidden money in Goa."/>
  </r>
  <r>
    <x v="42"/>
    <x v="42"/>
    <x v="5"/>
    <x v="12"/>
    <n v="0.75"/>
    <x v="42"/>
    <s v="Four crooks hide in a blind couple's home, causing hilarious confusion.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">
  <r>
    <n v="1"/>
    <s v="Breaking Bad"/>
    <s v="Crime"/>
    <n v="1499"/>
    <x v="0"/>
    <x v="0"/>
    <s v="January 20, 2008"/>
    <s v="A chemistry teacher turns to cooking meth to secure his family's future, descending into a life of crime."/>
  </r>
  <r>
    <n v="2"/>
    <s v="Stranger Things"/>
    <s v="Fantasy"/>
    <n v="2499"/>
    <x v="1"/>
    <x v="1"/>
    <s v="July 15, 2016"/>
    <s v="A group of kids uncovers supernatural mysteries and secret government experiments in their small town."/>
  </r>
  <r>
    <n v="3"/>
    <s v="Mirzapur"/>
    <s v="Crime"/>
    <n v="1499"/>
    <x v="2"/>
    <x v="2"/>
    <s v="November 16, 2018"/>
    <s v="A violent crime drama about power struggles and betrayal in the underworld of India."/>
  </r>
  <r>
    <n v="4"/>
    <s v="Kota Factory"/>
    <s v="Drama"/>
    <n v="999"/>
    <x v="3"/>
    <x v="2"/>
    <s v="April 16, 2019"/>
    <s v="Follows a teen’s life in Kota, India, while preparing for the pressure of tough entrance exams."/>
  </r>
  <r>
    <n v="5"/>
    <s v="Scam 1992"/>
    <s v="Biography"/>
    <n v="1499"/>
    <x v="4"/>
    <x v="2"/>
    <s v="October 9, 2020"/>
    <s v="The true story of Harshad Mehta’s stock market scam that shocked India in the 1990s."/>
  </r>
  <r>
    <n v="6"/>
    <s v="Squid Game 2"/>
    <s v="Mystery"/>
    <n v="2499"/>
    <x v="5"/>
    <x v="3"/>
    <s v="December 26, 2024"/>
    <s v="Contestants face deadly children's games for a life-changing cash prize with even higher risks."/>
  </r>
  <r>
    <n v="7"/>
    <s v="Alice In Borderland"/>
    <s v="Thriller"/>
    <n v="999"/>
    <x v="6"/>
    <x v="4"/>
    <s v="December 10, 2020"/>
    <s v="A group of friends is trapped in a deadly game world, where survival depends on winning challenges."/>
  </r>
  <r>
    <n v="8"/>
    <s v="Sacred Games"/>
    <s v="Crime"/>
    <n v="999"/>
    <x v="2"/>
    <x v="5"/>
    <s v="July 5, 2018"/>
    <s v="A cop uncovers crime, corruption, and conspiracies in the dangerous underworld of Mumbai."/>
  </r>
  <r>
    <n v="9"/>
    <s v="Money Heist"/>
    <s v="Crime"/>
    <n v="2499"/>
    <x v="7"/>
    <x v="6"/>
    <s v="May 2, 2017"/>
    <s v="A mastermind and his team plan a heist on the Royal Mint of Spain, facing dangerous challenges."/>
  </r>
  <r>
    <n v="10"/>
    <s v="The Family Man"/>
    <s v="Thriller"/>
    <n v="1499"/>
    <x v="1"/>
    <x v="7"/>
    <s v="September 20, 2019"/>
    <s v="A man juggles his role as a secret intelligence officer with his personal life and family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2">
  <location ref="A3:B16" firstHeaderRow="1" firstDataRow="1" firstDataCol="1"/>
  <pivotFields count="7">
    <pivotField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dataField="1" showAll="0">
      <items count="44">
        <item x="8"/>
        <item x="24"/>
        <item x="21"/>
        <item x="35"/>
        <item x="14"/>
        <item x="12"/>
        <item x="40"/>
        <item x="10"/>
        <item x="41"/>
        <item x="3"/>
        <item x="0"/>
        <item x="26"/>
        <item x="20"/>
        <item x="42"/>
        <item x="38"/>
        <item x="39"/>
        <item x="34"/>
        <item x="22"/>
        <item x="18"/>
        <item x="25"/>
        <item x="19"/>
        <item x="37"/>
        <item x="23"/>
        <item x="13"/>
        <item x="36"/>
        <item x="15"/>
        <item x="27"/>
        <item x="2"/>
        <item x="17"/>
        <item x="11"/>
        <item x="1"/>
        <item x="30"/>
        <item x="7"/>
        <item x="6"/>
        <item x="16"/>
        <item x="28"/>
        <item x="33"/>
        <item x="29"/>
        <item x="32"/>
        <item x="31"/>
        <item x="9"/>
        <item x="5"/>
        <item x="4"/>
        <item t="default"/>
      </items>
    </pivotField>
    <pivotField axis="axisRow" showAll="0">
      <items count="13">
        <item x="1"/>
        <item x="3"/>
        <item x="4"/>
        <item x="11"/>
        <item x="5"/>
        <item x="8"/>
        <item x="10"/>
        <item x="6"/>
        <item x="9"/>
        <item x="0"/>
        <item x="7"/>
        <item x="2"/>
        <item t="default"/>
      </items>
    </pivotField>
    <pivotField showAll="0">
      <items count="22">
        <item x="19"/>
        <item x="20"/>
        <item x="1"/>
        <item x="8"/>
        <item x="18"/>
        <item x="14"/>
        <item x="11"/>
        <item x="17"/>
        <item x="15"/>
        <item x="16"/>
        <item x="12"/>
        <item x="4"/>
        <item x="5"/>
        <item x="3"/>
        <item x="6"/>
        <item x="7"/>
        <item x="10"/>
        <item x="2"/>
        <item x="9"/>
        <item x="0"/>
        <item x="13"/>
        <item t="default"/>
      </items>
    </pivotField>
    <pivotField showAll="0"/>
    <pivotField showAll="0">
      <items count="44">
        <item x="26"/>
        <item x="7"/>
        <item x="24"/>
        <item x="21"/>
        <item x="35"/>
        <item x="5"/>
        <item x="17"/>
        <item x="20"/>
        <item x="19"/>
        <item x="12"/>
        <item x="11"/>
        <item x="8"/>
        <item x="23"/>
        <item x="10"/>
        <item x="36"/>
        <item x="1"/>
        <item x="3"/>
        <item x="0"/>
        <item x="32"/>
        <item x="34"/>
        <item x="2"/>
        <item x="42"/>
        <item x="13"/>
        <item x="16"/>
        <item x="22"/>
        <item x="27"/>
        <item x="6"/>
        <item x="14"/>
        <item x="40"/>
        <item x="30"/>
        <item x="38"/>
        <item x="37"/>
        <item x="33"/>
        <item x="39"/>
        <item x="4"/>
        <item x="31"/>
        <item x="15"/>
        <item x="29"/>
        <item x="9"/>
        <item x="18"/>
        <item x="28"/>
        <item x="41"/>
        <item x="25"/>
        <item t="default"/>
      </items>
    </pivotField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Movie Title" fld="1" subtotal="count" baseField="0" baseItem="0"/>
  </dataFields>
  <chartFormats count="1"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7">
  <location ref="A3:C12" firstHeaderRow="0" firstDataRow="1" firstDataCol="1"/>
  <pivotFields count="8">
    <pivotField showAll="0"/>
    <pivotField dataField="1" showAll="0"/>
    <pivotField showAll="0"/>
    <pivotField numFmtId="164" showAll="0"/>
    <pivotField axis="axisRow" showAll="0">
      <items count="9">
        <item x="6"/>
        <item x="5"/>
        <item x="7"/>
        <item x="2"/>
        <item x="1"/>
        <item x="3"/>
        <item x="4"/>
        <item x="0"/>
        <item t="default"/>
      </items>
    </pivotField>
    <pivotField dataField="1" showAll="0">
      <items count="9">
        <item x="4"/>
        <item x="1"/>
        <item x="5"/>
        <item x="6"/>
        <item x="3"/>
        <item x="0"/>
        <item x="7"/>
        <item x="2"/>
        <item t="default"/>
      </items>
    </pivotField>
    <pivotField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ovie Title" fld="1" subtotal="count" baseField="4" baseItem="0"/>
    <dataField name="Count of Rating (Rotten Tomatoes)" fld="5" subtotal="count" baseField="0" baseItem="0"/>
  </dataFields>
  <chartFormats count="18"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6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6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6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6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6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6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6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26" format="12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26" format="13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26" format="14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26" format="15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26" format="16">
      <pivotArea type="data" outline="0" fieldPosition="0">
        <references count="2">
          <reference field="4294967294" count="1" selected="0">
            <x v="1"/>
          </reference>
          <reference field="4" count="1" selected="0">
            <x v="4"/>
          </reference>
        </references>
      </pivotArea>
    </chartFormat>
    <chartFormat chart="26" format="17">
      <pivotArea type="data" outline="0" fieldPosition="0">
        <references count="2">
          <reference field="4294967294" count="1" selected="0">
            <x v="1"/>
          </reference>
          <reference field="4" count="1" selected="0">
            <x v="5"/>
          </reference>
        </references>
      </pivotArea>
    </chartFormat>
    <chartFormat chart="26" format="18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  <chartFormat chart="26" format="19">
      <pivotArea type="data" outline="0" fieldPosition="0">
        <references count="2">
          <reference field="4294967294" count="1" selected="0">
            <x v="1"/>
          </reference>
          <reference field="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6"/>
  <sheetViews>
    <sheetView topLeftCell="E4" zoomScale="59" zoomScaleNormal="85" workbookViewId="0">
      <selection activeCell="K18" sqref="K18"/>
    </sheetView>
  </sheetViews>
  <sheetFormatPr defaultRowHeight="14.5" x14ac:dyDescent="0.35"/>
  <cols>
    <col min="2" max="2" width="19" bestFit="1" customWidth="1"/>
    <col min="3" max="3" width="12.90625" customWidth="1"/>
    <col min="4" max="4" width="14.36328125" bestFit="1" customWidth="1"/>
    <col min="5" max="5" width="24.36328125" bestFit="1" customWidth="1"/>
    <col min="6" max="6" width="17.08984375" bestFit="1" customWidth="1"/>
    <col min="7" max="7" width="74.453125" bestFit="1" customWidth="1"/>
    <col min="8" max="8" width="11.54296875" bestFit="1" customWidth="1"/>
    <col min="9" max="9" width="8.36328125" customWidth="1"/>
    <col min="10" max="10" width="22.7265625" style="12" bestFit="1" customWidth="1"/>
    <col min="11" max="11" width="12.453125" style="12" customWidth="1"/>
  </cols>
  <sheetData>
    <row r="2" spans="1:11" ht="17" customHeight="1" x14ac:dyDescent="0.55000000000000004">
      <c r="A2" s="1"/>
      <c r="B2" s="2"/>
      <c r="C2" s="2"/>
      <c r="D2" s="2"/>
      <c r="E2" s="2"/>
      <c r="F2" s="2"/>
      <c r="J2" s="9" t="s">
        <v>47</v>
      </c>
      <c r="K2" s="9" t="s">
        <v>183</v>
      </c>
    </row>
    <row r="3" spans="1:11" ht="16.5" customHeight="1" x14ac:dyDescent="0.35">
      <c r="A3" s="3" t="s">
        <v>0</v>
      </c>
      <c r="B3" s="3" t="s">
        <v>2</v>
      </c>
      <c r="C3" s="3" t="s">
        <v>47</v>
      </c>
      <c r="D3" s="3" t="s">
        <v>49</v>
      </c>
      <c r="E3" s="3" t="s">
        <v>48</v>
      </c>
      <c r="F3" s="3" t="s">
        <v>3</v>
      </c>
      <c r="G3" s="3" t="s">
        <v>1</v>
      </c>
      <c r="I3" s="8"/>
      <c r="J3" s="13" t="s">
        <v>119</v>
      </c>
      <c r="K3" s="14">
        <f>COUNTIF($C$2:$C$44,J3)</f>
        <v>12</v>
      </c>
    </row>
    <row r="4" spans="1:11" x14ac:dyDescent="0.35">
      <c r="A4" s="4">
        <v>1</v>
      </c>
      <c r="B4" s="5" t="s">
        <v>4</v>
      </c>
      <c r="C4" s="6" t="s">
        <v>117</v>
      </c>
      <c r="D4" s="4">
        <v>8.4</v>
      </c>
      <c r="E4" s="7">
        <v>0.97</v>
      </c>
      <c r="F4" s="6" t="s">
        <v>118</v>
      </c>
      <c r="G4" s="6" t="s">
        <v>51</v>
      </c>
      <c r="J4" s="14" t="s">
        <v>124</v>
      </c>
      <c r="K4" s="14">
        <f t="shared" ref="K4:K13" si="0">COUNTIF($C$2:$C$44,J4)</f>
        <v>7</v>
      </c>
    </row>
    <row r="5" spans="1:11" x14ac:dyDescent="0.35">
      <c r="A5" s="4">
        <v>2</v>
      </c>
      <c r="B5" s="5" t="s">
        <v>5</v>
      </c>
      <c r="C5" s="6" t="s">
        <v>119</v>
      </c>
      <c r="D5" s="4">
        <v>6.1</v>
      </c>
      <c r="E5" s="7">
        <v>0.76</v>
      </c>
      <c r="F5" s="6" t="s">
        <v>94</v>
      </c>
      <c r="G5" s="6" t="s">
        <v>52</v>
      </c>
      <c r="J5" s="14" t="s">
        <v>136</v>
      </c>
      <c r="K5" s="14">
        <f t="shared" si="0"/>
        <v>1</v>
      </c>
    </row>
    <row r="6" spans="1:11" x14ac:dyDescent="0.35">
      <c r="A6" s="4">
        <v>3</v>
      </c>
      <c r="B6" s="5" t="s">
        <v>6</v>
      </c>
      <c r="C6" s="6" t="s">
        <v>120</v>
      </c>
      <c r="D6" s="4">
        <v>8.1999999999999993</v>
      </c>
      <c r="E6" s="7">
        <v>0.96</v>
      </c>
      <c r="F6" s="6" t="s">
        <v>121</v>
      </c>
      <c r="G6" s="6" t="s">
        <v>53</v>
      </c>
      <c r="J6" s="14" t="s">
        <v>126</v>
      </c>
      <c r="K6" s="14">
        <f t="shared" si="0"/>
        <v>6</v>
      </c>
    </row>
    <row r="7" spans="1:11" x14ac:dyDescent="0.35">
      <c r="A7" s="4">
        <v>4</v>
      </c>
      <c r="B7" s="5" t="s">
        <v>7</v>
      </c>
      <c r="C7" s="6" t="s">
        <v>122</v>
      </c>
      <c r="D7" s="4">
        <v>7.8</v>
      </c>
      <c r="E7" s="4" t="s">
        <v>50</v>
      </c>
      <c r="F7" s="6" t="s">
        <v>95</v>
      </c>
      <c r="G7" s="6" t="s">
        <v>54</v>
      </c>
      <c r="J7" s="14" t="s">
        <v>123</v>
      </c>
      <c r="K7" s="14">
        <f t="shared" si="0"/>
        <v>2</v>
      </c>
    </row>
    <row r="8" spans="1:11" x14ac:dyDescent="0.35">
      <c r="A8" s="4">
        <v>5</v>
      </c>
      <c r="B8" s="5" t="s">
        <v>8</v>
      </c>
      <c r="C8" s="6" t="s">
        <v>124</v>
      </c>
      <c r="D8" s="4">
        <v>7.6</v>
      </c>
      <c r="E8" s="7">
        <v>0.91</v>
      </c>
      <c r="F8" s="6" t="s">
        <v>125</v>
      </c>
      <c r="G8" s="6" t="s">
        <v>55</v>
      </c>
      <c r="J8" s="14" t="s">
        <v>127</v>
      </c>
      <c r="K8" s="14">
        <f t="shared" si="0"/>
        <v>6</v>
      </c>
    </row>
    <row r="9" spans="1:11" x14ac:dyDescent="0.35">
      <c r="A9" s="4">
        <v>6</v>
      </c>
      <c r="B9" s="5" t="s">
        <v>9</v>
      </c>
      <c r="C9" s="6" t="s">
        <v>119</v>
      </c>
      <c r="D9" s="4">
        <v>7.7</v>
      </c>
      <c r="E9" s="7">
        <v>0.57999999999999996</v>
      </c>
      <c r="F9" s="6" t="s">
        <v>96</v>
      </c>
      <c r="G9" s="6" t="s">
        <v>56</v>
      </c>
      <c r="J9" s="14" t="s">
        <v>133</v>
      </c>
      <c r="K9" s="14">
        <f t="shared" si="0"/>
        <v>1</v>
      </c>
    </row>
    <row r="10" spans="1:11" x14ac:dyDescent="0.35">
      <c r="A10" s="4">
        <v>7</v>
      </c>
      <c r="B10" s="5" t="s">
        <v>10</v>
      </c>
      <c r="C10" s="6" t="s">
        <v>126</v>
      </c>
      <c r="D10" s="4">
        <v>7.9</v>
      </c>
      <c r="E10" s="7">
        <v>0.65</v>
      </c>
      <c r="F10" s="6" t="s">
        <v>97</v>
      </c>
      <c r="G10" s="6" t="s">
        <v>57</v>
      </c>
      <c r="J10" s="14" t="s">
        <v>131</v>
      </c>
      <c r="K10" s="14">
        <f t="shared" si="0"/>
        <v>1</v>
      </c>
    </row>
    <row r="11" spans="1:11" x14ac:dyDescent="0.35">
      <c r="A11" s="4">
        <v>8</v>
      </c>
      <c r="B11" s="5" t="s">
        <v>11</v>
      </c>
      <c r="C11" s="6" t="s">
        <v>127</v>
      </c>
      <c r="D11" s="4">
        <v>8.1999999999999993</v>
      </c>
      <c r="E11" s="7">
        <v>0.96</v>
      </c>
      <c r="F11" s="6" t="s">
        <v>98</v>
      </c>
      <c r="G11" s="6" t="s">
        <v>58</v>
      </c>
      <c r="J11" s="14" t="s">
        <v>128</v>
      </c>
      <c r="K11" s="14">
        <f t="shared" si="0"/>
        <v>1</v>
      </c>
    </row>
    <row r="12" spans="1:11" x14ac:dyDescent="0.35">
      <c r="A12" s="4">
        <v>9</v>
      </c>
      <c r="B12" s="5" t="s">
        <v>12</v>
      </c>
      <c r="C12" s="6" t="s">
        <v>124</v>
      </c>
      <c r="D12" s="4">
        <v>8</v>
      </c>
      <c r="E12" s="7">
        <v>0.88</v>
      </c>
      <c r="F12" s="6" t="s">
        <v>99</v>
      </c>
      <c r="G12" s="6" t="s">
        <v>59</v>
      </c>
      <c r="J12" s="14" t="s">
        <v>117</v>
      </c>
      <c r="K12" s="14">
        <f t="shared" si="0"/>
        <v>2</v>
      </c>
    </row>
    <row r="13" spans="1:11" x14ac:dyDescent="0.35">
      <c r="A13" s="4">
        <v>10</v>
      </c>
      <c r="B13" s="5" t="s">
        <v>13</v>
      </c>
      <c r="C13" s="6" t="s">
        <v>119</v>
      </c>
      <c r="D13" s="4">
        <v>6.6</v>
      </c>
      <c r="E13" s="7">
        <v>0.67</v>
      </c>
      <c r="F13" s="6" t="s">
        <v>100</v>
      </c>
      <c r="G13" s="6" t="s">
        <v>60</v>
      </c>
      <c r="J13" s="14" t="s">
        <v>120</v>
      </c>
      <c r="K13" s="14">
        <f t="shared" si="0"/>
        <v>1</v>
      </c>
    </row>
    <row r="14" spans="1:11" x14ac:dyDescent="0.35">
      <c r="A14" s="4">
        <v>11</v>
      </c>
      <c r="B14" s="5" t="s">
        <v>14</v>
      </c>
      <c r="C14" s="6" t="s">
        <v>128</v>
      </c>
      <c r="D14" s="4">
        <v>8.3000000000000007</v>
      </c>
      <c r="E14" s="7">
        <v>0.88</v>
      </c>
      <c r="F14" s="6" t="s">
        <v>101</v>
      </c>
      <c r="G14" s="6" t="s">
        <v>61</v>
      </c>
    </row>
    <row r="15" spans="1:11" ht="15.5" x14ac:dyDescent="0.35">
      <c r="A15" s="4">
        <v>12</v>
      </c>
      <c r="B15" s="5" t="s">
        <v>15</v>
      </c>
      <c r="C15" s="6" t="s">
        <v>126</v>
      </c>
      <c r="D15" s="4">
        <v>8.1</v>
      </c>
      <c r="E15" s="7">
        <v>0.78</v>
      </c>
      <c r="F15" s="6" t="s">
        <v>102</v>
      </c>
      <c r="G15" s="6" t="s">
        <v>62</v>
      </c>
      <c r="J15" s="3" t="s">
        <v>184</v>
      </c>
      <c r="K15" s="15">
        <f>AVERAGE($D$4:$D$46)</f>
        <v>7.5976744186046492</v>
      </c>
    </row>
    <row r="16" spans="1:11" ht="15.5" x14ac:dyDescent="0.35">
      <c r="A16" s="4">
        <v>13</v>
      </c>
      <c r="B16" s="5" t="s">
        <v>16</v>
      </c>
      <c r="C16" s="6" t="s">
        <v>126</v>
      </c>
      <c r="D16" s="4">
        <v>6.1</v>
      </c>
      <c r="E16" s="7">
        <v>0.53</v>
      </c>
      <c r="F16" s="6" t="s">
        <v>129</v>
      </c>
      <c r="G16" s="6" t="s">
        <v>63</v>
      </c>
      <c r="J16" s="3" t="s">
        <v>185</v>
      </c>
      <c r="K16" s="18">
        <f>AVERAGE(E4:$E$46)</f>
        <v>0.80071428571428582</v>
      </c>
    </row>
    <row r="17" spans="1:7" x14ac:dyDescent="0.35">
      <c r="A17" s="4">
        <v>14</v>
      </c>
      <c r="B17" s="5" t="s">
        <v>17</v>
      </c>
      <c r="C17" s="6" t="s">
        <v>123</v>
      </c>
      <c r="D17" s="4">
        <v>8.3000000000000007</v>
      </c>
      <c r="E17" s="7">
        <v>0.89</v>
      </c>
      <c r="F17" s="6" t="s">
        <v>103</v>
      </c>
      <c r="G17" s="6" t="s">
        <v>64</v>
      </c>
    </row>
    <row r="18" spans="1:7" x14ac:dyDescent="0.35">
      <c r="A18" s="4">
        <v>15</v>
      </c>
      <c r="B18" s="5" t="s">
        <v>18</v>
      </c>
      <c r="C18" s="6" t="s">
        <v>123</v>
      </c>
      <c r="D18" s="4">
        <v>8.1999999999999993</v>
      </c>
      <c r="E18" s="7">
        <v>0.88</v>
      </c>
      <c r="F18" s="6" t="s">
        <v>104</v>
      </c>
      <c r="G18" s="6" t="s">
        <v>65</v>
      </c>
    </row>
    <row r="19" spans="1:7" x14ac:dyDescent="0.35">
      <c r="A19" s="4">
        <v>16</v>
      </c>
      <c r="B19" s="5" t="s">
        <v>19</v>
      </c>
      <c r="C19" s="6" t="s">
        <v>119</v>
      </c>
      <c r="D19" s="4">
        <v>8.1999999999999993</v>
      </c>
      <c r="E19" s="7">
        <v>0.88</v>
      </c>
      <c r="F19" s="6" t="s">
        <v>105</v>
      </c>
      <c r="G19" s="6" t="s">
        <v>66</v>
      </c>
    </row>
    <row r="20" spans="1:7" x14ac:dyDescent="0.35">
      <c r="A20" s="4">
        <v>17</v>
      </c>
      <c r="B20" s="5" t="s">
        <v>20</v>
      </c>
      <c r="C20" s="6" t="s">
        <v>119</v>
      </c>
      <c r="D20" s="4">
        <v>7</v>
      </c>
      <c r="E20" s="7">
        <v>0.77</v>
      </c>
      <c r="F20" s="6" t="s">
        <v>106</v>
      </c>
      <c r="G20" s="6" t="s">
        <v>67</v>
      </c>
    </row>
    <row r="21" spans="1:7" x14ac:dyDescent="0.35">
      <c r="A21" s="4">
        <v>18</v>
      </c>
      <c r="B21" s="5" t="s">
        <v>21</v>
      </c>
      <c r="C21" s="6" t="s">
        <v>119</v>
      </c>
      <c r="D21" s="4">
        <v>7.5</v>
      </c>
      <c r="E21" s="7">
        <v>0.83</v>
      </c>
      <c r="F21" s="6" t="s">
        <v>107</v>
      </c>
      <c r="G21" s="6" t="s">
        <v>68</v>
      </c>
    </row>
    <row r="22" spans="1:7" x14ac:dyDescent="0.35">
      <c r="A22" s="4">
        <v>19</v>
      </c>
      <c r="B22" s="5" t="s">
        <v>22</v>
      </c>
      <c r="C22" s="6" t="s">
        <v>117</v>
      </c>
      <c r="D22" s="4">
        <v>8.6999999999999993</v>
      </c>
      <c r="E22" s="7">
        <v>0.73</v>
      </c>
      <c r="F22" s="6" t="s">
        <v>130</v>
      </c>
      <c r="G22" s="6" t="s">
        <v>69</v>
      </c>
    </row>
    <row r="23" spans="1:7" x14ac:dyDescent="0.35">
      <c r="A23" s="4">
        <v>20</v>
      </c>
      <c r="B23" s="5" t="s">
        <v>23</v>
      </c>
      <c r="C23" s="6" t="s">
        <v>131</v>
      </c>
      <c r="D23" s="4">
        <v>8.3000000000000007</v>
      </c>
      <c r="E23" s="7">
        <v>0.88</v>
      </c>
      <c r="F23" s="6" t="s">
        <v>132</v>
      </c>
      <c r="G23" s="6" t="s">
        <v>70</v>
      </c>
    </row>
    <row r="24" spans="1:7" x14ac:dyDescent="0.35">
      <c r="A24" s="4">
        <v>21</v>
      </c>
      <c r="B24" s="5" t="s">
        <v>24</v>
      </c>
      <c r="C24" s="6" t="s">
        <v>133</v>
      </c>
      <c r="D24" s="4">
        <v>8.1</v>
      </c>
      <c r="E24" s="7">
        <v>0.92</v>
      </c>
      <c r="F24" s="6" t="s">
        <v>134</v>
      </c>
      <c r="G24" s="6" t="s">
        <v>71</v>
      </c>
    </row>
    <row r="25" spans="1:7" x14ac:dyDescent="0.35">
      <c r="A25" s="4">
        <v>22</v>
      </c>
      <c r="B25" s="5" t="s">
        <v>25</v>
      </c>
      <c r="C25" s="6" t="s">
        <v>119</v>
      </c>
      <c r="D25" s="4">
        <v>8.4</v>
      </c>
      <c r="E25" s="7">
        <v>0.83</v>
      </c>
      <c r="F25" s="6" t="s">
        <v>135</v>
      </c>
      <c r="G25" s="6" t="s">
        <v>72</v>
      </c>
    </row>
    <row r="26" spans="1:7" x14ac:dyDescent="0.35">
      <c r="A26" s="4">
        <v>23</v>
      </c>
      <c r="B26" s="5" t="s">
        <v>26</v>
      </c>
      <c r="C26" s="6" t="s">
        <v>136</v>
      </c>
      <c r="D26" s="4">
        <v>7.5</v>
      </c>
      <c r="E26" s="7">
        <v>0.92</v>
      </c>
      <c r="F26" s="6" t="s">
        <v>137</v>
      </c>
      <c r="G26" s="6" t="s">
        <v>73</v>
      </c>
    </row>
    <row r="27" spans="1:7" x14ac:dyDescent="0.35">
      <c r="A27" s="4">
        <v>24</v>
      </c>
      <c r="B27" s="5" t="s">
        <v>27</v>
      </c>
      <c r="C27" s="6" t="s">
        <v>119</v>
      </c>
      <c r="D27" s="4">
        <v>8.1999999999999993</v>
      </c>
      <c r="E27" s="7">
        <v>0.67</v>
      </c>
      <c r="F27" s="6" t="s">
        <v>138</v>
      </c>
      <c r="G27" s="6" t="s">
        <v>74</v>
      </c>
    </row>
    <row r="28" spans="1:7" x14ac:dyDescent="0.35">
      <c r="A28" s="4">
        <v>25</v>
      </c>
      <c r="B28" s="5" t="s">
        <v>28</v>
      </c>
      <c r="C28" s="6" t="s">
        <v>119</v>
      </c>
      <c r="D28" s="4">
        <v>8.4</v>
      </c>
      <c r="E28" s="7">
        <v>0.94</v>
      </c>
      <c r="F28" s="6" t="s">
        <v>139</v>
      </c>
      <c r="G28" s="6" t="s">
        <v>75</v>
      </c>
    </row>
    <row r="29" spans="1:7" x14ac:dyDescent="0.35">
      <c r="A29" s="4">
        <v>26</v>
      </c>
      <c r="B29" s="5" t="s">
        <v>29</v>
      </c>
      <c r="C29" s="6" t="s">
        <v>119</v>
      </c>
      <c r="D29" s="4">
        <v>6.9</v>
      </c>
      <c r="E29" s="7">
        <v>0.85</v>
      </c>
      <c r="F29" s="6" t="s">
        <v>108</v>
      </c>
      <c r="G29" s="6" t="s">
        <v>76</v>
      </c>
    </row>
    <row r="30" spans="1:7" x14ac:dyDescent="0.35">
      <c r="A30" s="4">
        <v>27</v>
      </c>
      <c r="B30" s="5" t="s">
        <v>30</v>
      </c>
      <c r="C30" s="6" t="s">
        <v>119</v>
      </c>
      <c r="D30" s="4">
        <v>8.1</v>
      </c>
      <c r="E30" s="7">
        <v>0.81</v>
      </c>
      <c r="F30" s="6" t="s">
        <v>140</v>
      </c>
      <c r="G30" s="6" t="s">
        <v>77</v>
      </c>
    </row>
    <row r="31" spans="1:7" x14ac:dyDescent="0.35">
      <c r="A31" s="4">
        <v>28</v>
      </c>
      <c r="B31" s="5" t="s">
        <v>31</v>
      </c>
      <c r="C31" s="6" t="s">
        <v>119</v>
      </c>
      <c r="D31" s="4">
        <v>7.2</v>
      </c>
      <c r="E31" s="7">
        <v>0.96</v>
      </c>
      <c r="F31" s="6" t="s">
        <v>141</v>
      </c>
      <c r="G31" s="6" t="s">
        <v>78</v>
      </c>
    </row>
    <row r="32" spans="1:7" x14ac:dyDescent="0.35">
      <c r="A32" s="4">
        <v>29</v>
      </c>
      <c r="B32" s="5" t="s">
        <v>32</v>
      </c>
      <c r="C32" s="6" t="s">
        <v>127</v>
      </c>
      <c r="D32" s="4">
        <v>7.3</v>
      </c>
      <c r="E32" s="7">
        <v>0.83</v>
      </c>
      <c r="F32" s="6" t="s">
        <v>142</v>
      </c>
      <c r="G32" s="6" t="s">
        <v>79</v>
      </c>
    </row>
    <row r="33" spans="1:7" x14ac:dyDescent="0.35">
      <c r="A33" s="4">
        <v>30</v>
      </c>
      <c r="B33" s="5" t="s">
        <v>33</v>
      </c>
      <c r="C33" s="6" t="s">
        <v>127</v>
      </c>
      <c r="D33" s="4">
        <v>7.1</v>
      </c>
      <c r="E33" s="7">
        <v>0.71</v>
      </c>
      <c r="F33" s="6" t="s">
        <v>109</v>
      </c>
      <c r="G33" s="6" t="s">
        <v>80</v>
      </c>
    </row>
    <row r="34" spans="1:7" x14ac:dyDescent="0.35">
      <c r="A34" s="4">
        <v>31</v>
      </c>
      <c r="B34" s="5" t="s">
        <v>34</v>
      </c>
      <c r="C34" s="6" t="s">
        <v>127</v>
      </c>
      <c r="D34" s="4">
        <v>6.8</v>
      </c>
      <c r="E34" s="7">
        <v>0.64</v>
      </c>
      <c r="F34" s="6" t="s">
        <v>143</v>
      </c>
      <c r="G34" s="6" t="s">
        <v>81</v>
      </c>
    </row>
    <row r="35" spans="1:7" x14ac:dyDescent="0.35">
      <c r="A35" s="4">
        <v>32</v>
      </c>
      <c r="B35" s="5" t="s">
        <v>35</v>
      </c>
      <c r="C35" s="6" t="s">
        <v>127</v>
      </c>
      <c r="D35" s="4">
        <v>8.1999999999999993</v>
      </c>
      <c r="E35" s="7">
        <v>0.84</v>
      </c>
      <c r="F35" s="6" t="s">
        <v>110</v>
      </c>
      <c r="G35" s="6" t="s">
        <v>82</v>
      </c>
    </row>
    <row r="36" spans="1:7" x14ac:dyDescent="0.35">
      <c r="A36" s="4">
        <v>33</v>
      </c>
      <c r="B36" s="5" t="s">
        <v>36</v>
      </c>
      <c r="C36" s="6" t="s">
        <v>127</v>
      </c>
      <c r="D36" s="4">
        <v>7</v>
      </c>
      <c r="E36" s="7">
        <v>0.81</v>
      </c>
      <c r="F36" s="6" t="s">
        <v>144</v>
      </c>
      <c r="G36" s="6" t="s">
        <v>83</v>
      </c>
    </row>
    <row r="37" spans="1:7" x14ac:dyDescent="0.35">
      <c r="A37" s="4">
        <v>34</v>
      </c>
      <c r="B37" s="5" t="s">
        <v>37</v>
      </c>
      <c r="C37" s="6" t="s">
        <v>124</v>
      </c>
      <c r="D37" s="4">
        <v>5.4</v>
      </c>
      <c r="E37" s="7">
        <v>0.63</v>
      </c>
      <c r="F37" s="6" t="s">
        <v>111</v>
      </c>
      <c r="G37" s="6" t="s">
        <v>84</v>
      </c>
    </row>
    <row r="38" spans="1:7" x14ac:dyDescent="0.35">
      <c r="A38" s="4">
        <v>35</v>
      </c>
      <c r="B38" s="5" t="s">
        <v>38</v>
      </c>
      <c r="C38" s="6" t="s">
        <v>124</v>
      </c>
      <c r="D38" s="4">
        <v>7.8</v>
      </c>
      <c r="E38" s="7">
        <v>0.9</v>
      </c>
      <c r="F38" s="6" t="s">
        <v>145</v>
      </c>
      <c r="G38" s="6" t="s">
        <v>85</v>
      </c>
    </row>
    <row r="39" spans="1:7" x14ac:dyDescent="0.35">
      <c r="A39" s="4">
        <v>36</v>
      </c>
      <c r="B39" s="5" t="s">
        <v>39</v>
      </c>
      <c r="C39" s="6" t="s">
        <v>124</v>
      </c>
      <c r="D39" s="4">
        <v>8</v>
      </c>
      <c r="E39" s="7">
        <v>0.97</v>
      </c>
      <c r="F39" s="6" t="s">
        <v>112</v>
      </c>
      <c r="G39" s="6" t="s">
        <v>86</v>
      </c>
    </row>
    <row r="40" spans="1:7" x14ac:dyDescent="0.35">
      <c r="A40" s="4">
        <v>37</v>
      </c>
      <c r="B40" s="5" t="s">
        <v>40</v>
      </c>
      <c r="C40" s="6" t="s">
        <v>124</v>
      </c>
      <c r="D40" s="4">
        <v>7.2</v>
      </c>
      <c r="E40" s="7">
        <v>0.97</v>
      </c>
      <c r="F40" s="6" t="s">
        <v>146</v>
      </c>
      <c r="G40" s="6" t="s">
        <v>87</v>
      </c>
    </row>
    <row r="41" spans="1:7" x14ac:dyDescent="0.35">
      <c r="A41" s="4">
        <v>38</v>
      </c>
      <c r="B41" s="5" t="s">
        <v>41</v>
      </c>
      <c r="C41" s="6" t="s">
        <v>124</v>
      </c>
      <c r="D41" s="4">
        <v>5.9</v>
      </c>
      <c r="E41" s="7">
        <v>0.5</v>
      </c>
      <c r="F41" s="6" t="s">
        <v>147</v>
      </c>
      <c r="G41" s="6" t="s">
        <v>88</v>
      </c>
    </row>
    <row r="42" spans="1:7" x14ac:dyDescent="0.35">
      <c r="A42" s="4">
        <v>39</v>
      </c>
      <c r="B42" s="5" t="s">
        <v>42</v>
      </c>
      <c r="C42" s="6" t="s">
        <v>126</v>
      </c>
      <c r="D42" s="4">
        <v>8.1999999999999993</v>
      </c>
      <c r="E42" s="7">
        <v>0.43</v>
      </c>
      <c r="F42" s="6" t="s">
        <v>113</v>
      </c>
      <c r="G42" s="6" t="s">
        <v>89</v>
      </c>
    </row>
    <row r="43" spans="1:7" x14ac:dyDescent="0.35">
      <c r="A43" s="4">
        <v>40</v>
      </c>
      <c r="B43" s="5" t="s">
        <v>43</v>
      </c>
      <c r="C43" s="6" t="s">
        <v>126</v>
      </c>
      <c r="D43" s="4">
        <v>7.7</v>
      </c>
      <c r="E43" s="7">
        <v>0.8</v>
      </c>
      <c r="F43" s="6" t="s">
        <v>148</v>
      </c>
      <c r="G43" s="6" t="s">
        <v>90</v>
      </c>
    </row>
    <row r="44" spans="1:7" x14ac:dyDescent="0.35">
      <c r="A44" s="4">
        <v>41</v>
      </c>
      <c r="B44" s="5" t="s">
        <v>44</v>
      </c>
      <c r="C44" s="6" t="s">
        <v>126</v>
      </c>
      <c r="D44" s="4">
        <v>7.1</v>
      </c>
      <c r="E44" s="7">
        <v>0.89</v>
      </c>
      <c r="F44" s="6" t="s">
        <v>114</v>
      </c>
      <c r="G44" s="6" t="s">
        <v>91</v>
      </c>
    </row>
    <row r="45" spans="1:7" x14ac:dyDescent="0.35">
      <c r="A45" s="4">
        <v>42</v>
      </c>
      <c r="B45" s="5" t="s">
        <v>45</v>
      </c>
      <c r="C45" s="6" t="s">
        <v>126</v>
      </c>
      <c r="D45" s="4">
        <v>7.5</v>
      </c>
      <c r="E45" s="7">
        <v>0.67</v>
      </c>
      <c r="F45" s="6" t="s">
        <v>115</v>
      </c>
      <c r="G45" s="6" t="s">
        <v>92</v>
      </c>
    </row>
    <row r="46" spans="1:7" x14ac:dyDescent="0.35">
      <c r="A46" s="4">
        <v>43</v>
      </c>
      <c r="B46" s="5" t="s">
        <v>46</v>
      </c>
      <c r="C46" s="6" t="s">
        <v>126</v>
      </c>
      <c r="D46" s="4">
        <v>7.5</v>
      </c>
      <c r="E46" s="7">
        <v>0.75</v>
      </c>
      <c r="F46" s="6" t="s">
        <v>116</v>
      </c>
      <c r="G46" s="6" t="s">
        <v>93</v>
      </c>
    </row>
  </sheetData>
  <conditionalFormatting sqref="D4:D46">
    <cfRule type="cellIs" dxfId="15" priority="8" operator="greaterThan">
      <formula>7.9</formula>
    </cfRule>
    <cfRule type="cellIs" dxfId="14" priority="9" operator="between">
      <formula>6.6</formula>
      <formula>7.9</formula>
    </cfRule>
    <cfRule type="cellIs" dxfId="13" priority="10" operator="lessThan">
      <formula>6.5</formula>
    </cfRule>
  </conditionalFormatting>
  <conditionalFormatting sqref="E4:E46">
    <cfRule type="containsText" dxfId="12" priority="1" operator="containsText" text="N/A">
      <formula>NOT(ISERROR(SEARCH("N/A",E4)))</formula>
    </cfRule>
    <cfRule type="containsText" dxfId="11" priority="2" operator="containsText" text="N/A">
      <formula>NOT(ISERROR(SEARCH("N/A",E4)))</formula>
    </cfRule>
    <cfRule type="cellIs" dxfId="10" priority="3" operator="greaterThan">
      <formula>0.79</formula>
    </cfRule>
    <cfRule type="cellIs" dxfId="9" priority="4" operator="between">
      <formula>0.67</formula>
      <formula>0.79</formula>
    </cfRule>
    <cfRule type="cellIs" dxfId="8" priority="5" operator="lessThan">
      <formula>0.66</formula>
    </cfRule>
  </conditionalFormatting>
  <dataValidations count="1">
    <dataValidation type="list" allowBlank="1" showInputMessage="1" showErrorMessage="1" sqref="C4:C46">
      <formula1>$J$3:$J$13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5"/>
  <sheetViews>
    <sheetView workbookViewId="0">
      <selection activeCell="C25" sqref="C25"/>
    </sheetView>
  </sheetViews>
  <sheetFormatPr defaultRowHeight="14.5" x14ac:dyDescent="0.35"/>
  <cols>
    <col min="2" max="2" width="22.453125" bestFit="1" customWidth="1"/>
    <col min="3" max="3" width="12.90625" bestFit="1" customWidth="1"/>
    <col min="4" max="4" width="12" bestFit="1" customWidth="1"/>
    <col min="5" max="5" width="13.453125" bestFit="1" customWidth="1"/>
    <col min="6" max="6" width="24.36328125" bestFit="1" customWidth="1"/>
    <col min="7" max="7" width="17.453125" bestFit="1" customWidth="1"/>
    <col min="8" max="8" width="89.54296875" bestFit="1" customWidth="1"/>
  </cols>
  <sheetData>
    <row r="2" spans="1:8" ht="15.5" x14ac:dyDescent="0.35">
      <c r="A2" s="3" t="s">
        <v>0</v>
      </c>
      <c r="B2" s="3" t="s">
        <v>2</v>
      </c>
      <c r="C2" s="3" t="s">
        <v>47</v>
      </c>
      <c r="D2" s="9" t="s">
        <v>149</v>
      </c>
      <c r="E2" s="3" t="s">
        <v>49</v>
      </c>
      <c r="F2" s="3" t="s">
        <v>48</v>
      </c>
      <c r="G2" s="3" t="s">
        <v>3</v>
      </c>
      <c r="H2" s="3" t="s">
        <v>1</v>
      </c>
    </row>
    <row r="3" spans="1:8" x14ac:dyDescent="0.35">
      <c r="A3" s="4">
        <v>1</v>
      </c>
      <c r="B3" s="5" t="s">
        <v>150</v>
      </c>
      <c r="C3" s="6" t="s">
        <v>160</v>
      </c>
      <c r="D3" s="10">
        <v>1499</v>
      </c>
      <c r="E3" s="4">
        <v>9.5</v>
      </c>
      <c r="F3" s="7">
        <v>0.96</v>
      </c>
      <c r="G3" s="6" t="s">
        <v>163</v>
      </c>
      <c r="H3" s="6" t="s">
        <v>173</v>
      </c>
    </row>
    <row r="4" spans="1:8" x14ac:dyDescent="0.35">
      <c r="A4" s="4">
        <v>2</v>
      </c>
      <c r="B4" s="5" t="s">
        <v>151</v>
      </c>
      <c r="C4" s="6" t="s">
        <v>161</v>
      </c>
      <c r="D4" s="10">
        <v>2499</v>
      </c>
      <c r="E4" s="4">
        <v>8.6999999999999993</v>
      </c>
      <c r="F4" s="7">
        <v>0.91</v>
      </c>
      <c r="G4" s="6" t="s">
        <v>164</v>
      </c>
      <c r="H4" s="6" t="s">
        <v>174</v>
      </c>
    </row>
    <row r="5" spans="1:8" x14ac:dyDescent="0.35">
      <c r="A5" s="4">
        <v>3</v>
      </c>
      <c r="B5" s="5" t="s">
        <v>152</v>
      </c>
      <c r="C5" s="6" t="s">
        <v>160</v>
      </c>
      <c r="D5" s="10">
        <v>1499</v>
      </c>
      <c r="E5" s="4">
        <v>8.5</v>
      </c>
      <c r="F5" s="7" t="s">
        <v>50</v>
      </c>
      <c r="G5" s="6" t="s">
        <v>165</v>
      </c>
      <c r="H5" t="s">
        <v>175</v>
      </c>
    </row>
    <row r="6" spans="1:8" x14ac:dyDescent="0.35">
      <c r="A6" s="4">
        <v>4</v>
      </c>
      <c r="B6" s="5" t="s">
        <v>153</v>
      </c>
      <c r="C6" s="6" t="s">
        <v>123</v>
      </c>
      <c r="D6" s="10">
        <v>999</v>
      </c>
      <c r="E6" s="4">
        <v>9</v>
      </c>
      <c r="F6" s="4" t="s">
        <v>50</v>
      </c>
      <c r="G6" s="6" t="s">
        <v>166</v>
      </c>
      <c r="H6" t="s">
        <v>176</v>
      </c>
    </row>
    <row r="7" spans="1:8" x14ac:dyDescent="0.35">
      <c r="A7" s="4">
        <v>5</v>
      </c>
      <c r="B7" s="5" t="s">
        <v>154</v>
      </c>
      <c r="C7" s="6" t="s">
        <v>162</v>
      </c>
      <c r="D7" s="10">
        <v>1499</v>
      </c>
      <c r="E7" s="4">
        <v>9.3000000000000007</v>
      </c>
      <c r="F7" s="7" t="s">
        <v>50</v>
      </c>
      <c r="G7" s="6" t="s">
        <v>167</v>
      </c>
      <c r="H7" t="s">
        <v>177</v>
      </c>
    </row>
    <row r="8" spans="1:8" x14ac:dyDescent="0.35">
      <c r="A8" s="4">
        <v>6</v>
      </c>
      <c r="B8" s="5" t="s">
        <v>155</v>
      </c>
      <c r="C8" s="6" t="s">
        <v>131</v>
      </c>
      <c r="D8" s="10">
        <v>2499</v>
      </c>
      <c r="E8" s="4">
        <v>8</v>
      </c>
      <c r="F8" s="7">
        <v>0.95</v>
      </c>
      <c r="G8" s="6" t="s">
        <v>168</v>
      </c>
      <c r="H8" t="s">
        <v>178</v>
      </c>
    </row>
    <row r="9" spans="1:8" x14ac:dyDescent="0.35">
      <c r="A9" s="4">
        <v>7</v>
      </c>
      <c r="B9" s="5" t="s">
        <v>156</v>
      </c>
      <c r="C9" s="6" t="s">
        <v>120</v>
      </c>
      <c r="D9" s="10">
        <v>999</v>
      </c>
      <c r="E9" s="4">
        <v>7.8</v>
      </c>
      <c r="F9" s="7">
        <v>0.83</v>
      </c>
      <c r="G9" s="6" t="s">
        <v>169</v>
      </c>
      <c r="H9" t="s">
        <v>179</v>
      </c>
    </row>
    <row r="10" spans="1:8" x14ac:dyDescent="0.35">
      <c r="A10" s="4">
        <v>8</v>
      </c>
      <c r="B10" s="5" t="s">
        <v>157</v>
      </c>
      <c r="C10" s="6" t="s">
        <v>160</v>
      </c>
      <c r="D10" s="10">
        <v>999</v>
      </c>
      <c r="E10" s="4">
        <v>8.5</v>
      </c>
      <c r="F10" s="7">
        <v>0.92</v>
      </c>
      <c r="G10" s="6" t="s">
        <v>170</v>
      </c>
      <c r="H10" t="s">
        <v>180</v>
      </c>
    </row>
    <row r="11" spans="1:8" x14ac:dyDescent="0.35">
      <c r="A11" s="4">
        <v>9</v>
      </c>
      <c r="B11" s="5" t="s">
        <v>158</v>
      </c>
      <c r="C11" s="6" t="s">
        <v>160</v>
      </c>
      <c r="D11" s="10">
        <v>2499</v>
      </c>
      <c r="E11" s="4">
        <v>8.1999999999999993</v>
      </c>
      <c r="F11" s="7">
        <v>0.94</v>
      </c>
      <c r="G11" s="6" t="s">
        <v>171</v>
      </c>
      <c r="H11" t="s">
        <v>181</v>
      </c>
    </row>
    <row r="12" spans="1:8" x14ac:dyDescent="0.35">
      <c r="A12" s="4">
        <v>10</v>
      </c>
      <c r="B12" s="5" t="s">
        <v>159</v>
      </c>
      <c r="C12" s="6" t="s">
        <v>120</v>
      </c>
      <c r="D12" s="10">
        <v>1499</v>
      </c>
      <c r="E12" s="4">
        <v>8.6999999999999993</v>
      </c>
      <c r="F12" s="7">
        <v>1</v>
      </c>
      <c r="G12" s="6" t="s">
        <v>172</v>
      </c>
      <c r="H12" t="s">
        <v>182</v>
      </c>
    </row>
    <row r="15" spans="1:8" ht="15.5" x14ac:dyDescent="0.35">
      <c r="B15" s="3" t="s">
        <v>47</v>
      </c>
      <c r="C15" s="3" t="s">
        <v>183</v>
      </c>
      <c r="E15" s="3" t="s">
        <v>149</v>
      </c>
      <c r="F15" s="3" t="s">
        <v>190</v>
      </c>
    </row>
    <row r="16" spans="1:8" x14ac:dyDescent="0.35">
      <c r="B16" s="6" t="s">
        <v>160</v>
      </c>
      <c r="C16" s="4">
        <f>COUNTIF(C3:C12,B16)</f>
        <v>4</v>
      </c>
      <c r="E16" s="16" t="s">
        <v>186</v>
      </c>
      <c r="F16" s="10">
        <f>SUM(D3:D12)</f>
        <v>16490</v>
      </c>
    </row>
    <row r="17" spans="2:6" x14ac:dyDescent="0.35">
      <c r="B17" s="6" t="s">
        <v>161</v>
      </c>
      <c r="C17" s="4">
        <f t="shared" ref="C17:C21" si="0">COUNTIF(C4:C13,B17)</f>
        <v>1</v>
      </c>
      <c r="E17" s="16" t="s">
        <v>187</v>
      </c>
      <c r="F17" s="10">
        <f>MIN(D3:D12)</f>
        <v>999</v>
      </c>
    </row>
    <row r="18" spans="2:6" x14ac:dyDescent="0.35">
      <c r="B18" s="6" t="s">
        <v>123</v>
      </c>
      <c r="C18" s="4">
        <f t="shared" si="0"/>
        <v>1</v>
      </c>
      <c r="E18" s="16" t="s">
        <v>188</v>
      </c>
      <c r="F18" s="10">
        <f>MAX(D3:D12)</f>
        <v>2499</v>
      </c>
    </row>
    <row r="19" spans="2:6" x14ac:dyDescent="0.35">
      <c r="B19" s="6" t="s">
        <v>162</v>
      </c>
      <c r="C19" s="4">
        <f t="shared" si="0"/>
        <v>1</v>
      </c>
      <c r="E19" s="16" t="s">
        <v>189</v>
      </c>
      <c r="F19" s="10">
        <f>AVERAGE(D3:D12)</f>
        <v>1649</v>
      </c>
    </row>
    <row r="20" spans="2:6" x14ac:dyDescent="0.35">
      <c r="B20" s="6" t="s">
        <v>131</v>
      </c>
      <c r="C20" s="4">
        <f t="shared" si="0"/>
        <v>1</v>
      </c>
    </row>
    <row r="21" spans="2:6" x14ac:dyDescent="0.35">
      <c r="B21" s="6" t="s">
        <v>120</v>
      </c>
      <c r="C21" s="4">
        <f t="shared" si="0"/>
        <v>2</v>
      </c>
    </row>
    <row r="23" spans="2:6" ht="15.5" x14ac:dyDescent="0.35">
      <c r="B23" s="3" t="s">
        <v>184</v>
      </c>
      <c r="C23" s="15">
        <f>AVERAGE($E$3:$E$12)</f>
        <v>8.620000000000001</v>
      </c>
    </row>
    <row r="24" spans="2:6" ht="15.5" x14ac:dyDescent="0.35">
      <c r="B24" s="3" t="s">
        <v>185</v>
      </c>
      <c r="C24" s="17">
        <f>AVERAGE(F3:F12)</f>
        <v>0.92999999999999994</v>
      </c>
    </row>
    <row r="25" spans="2:6" x14ac:dyDescent="0.35">
      <c r="B25" s="11"/>
    </row>
  </sheetData>
  <conditionalFormatting sqref="E3:E12">
    <cfRule type="cellIs" dxfId="7" priority="6" operator="greaterThan">
      <formula>7.9</formula>
    </cfRule>
    <cfRule type="cellIs" dxfId="6" priority="7" operator="between">
      <formula>6.6</formula>
      <formula>7.9</formula>
    </cfRule>
    <cfRule type="cellIs" dxfId="5" priority="8" operator="lessThan">
      <formula>6.5</formula>
    </cfRule>
  </conditionalFormatting>
  <conditionalFormatting sqref="F3:F12">
    <cfRule type="containsText" dxfId="4" priority="1" operator="containsText" text="N/A">
      <formula>NOT(ISERROR(SEARCH("N/A",F3)))</formula>
    </cfRule>
    <cfRule type="containsText" dxfId="3" priority="2" operator="containsText" text="N/A">
      <formula>NOT(ISERROR(SEARCH("N/A",F3)))</formula>
    </cfRule>
    <cfRule type="cellIs" dxfId="2" priority="3" operator="greaterThan">
      <formula>0.79</formula>
    </cfRule>
    <cfRule type="cellIs" dxfId="1" priority="4" operator="between">
      <formula>0.67</formula>
      <formula>0.79</formula>
    </cfRule>
    <cfRule type="cellIs" dxfId="0" priority="5" operator="lessThan">
      <formula>0.66</formula>
    </cfRule>
  </conditionalFormatting>
  <dataValidations count="1">
    <dataValidation type="list" allowBlank="1" showInputMessage="1" showErrorMessage="1" sqref="C3:C12">
      <formula1>$D$16:$D$21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workbookViewId="0">
      <selection activeCell="G20" sqref="G20"/>
    </sheetView>
  </sheetViews>
  <sheetFormatPr defaultRowHeight="14.5" x14ac:dyDescent="0.35"/>
  <cols>
    <col min="1" max="1" width="12.90625" customWidth="1"/>
    <col min="2" max="2" width="18" customWidth="1"/>
    <col min="3" max="6" width="12.1796875" customWidth="1"/>
    <col min="7" max="8" width="14.1796875" customWidth="1"/>
    <col min="9" max="9" width="13.1796875" customWidth="1"/>
    <col min="10" max="10" width="14.1796875" customWidth="1"/>
    <col min="11" max="11" width="13.1796875" customWidth="1"/>
    <col min="12" max="15" width="17" customWidth="1"/>
    <col min="16" max="18" width="15.90625" customWidth="1"/>
    <col min="19" max="20" width="14.81640625" customWidth="1"/>
    <col min="21" max="21" width="13.81640625" customWidth="1"/>
    <col min="22" max="25" width="11.36328125" customWidth="1"/>
    <col min="26" max="29" width="12.08984375" customWidth="1"/>
    <col min="30" max="30" width="11.08984375" customWidth="1"/>
    <col min="31" max="32" width="13.7265625" customWidth="1"/>
    <col min="33" max="33" width="11.90625" customWidth="1"/>
    <col min="34" max="34" width="10.90625" customWidth="1"/>
    <col min="35" max="35" width="17.1796875" bestFit="1" customWidth="1"/>
    <col min="36" max="36" width="17.1796875" customWidth="1"/>
    <col min="37" max="39" width="15.1796875" customWidth="1"/>
    <col min="40" max="40" width="14.1796875" customWidth="1"/>
    <col min="41" max="41" width="15.1796875" customWidth="1"/>
    <col min="42" max="44" width="16.54296875" customWidth="1"/>
    <col min="45" max="45" width="10.7265625" bestFit="1" customWidth="1"/>
  </cols>
  <sheetData>
    <row r="3" spans="1:2" x14ac:dyDescent="0.35">
      <c r="A3" s="19" t="s">
        <v>192</v>
      </c>
      <c r="B3" t="s">
        <v>194</v>
      </c>
    </row>
    <row r="4" spans="1:2" x14ac:dyDescent="0.35">
      <c r="A4" s="20" t="s">
        <v>119</v>
      </c>
      <c r="B4" s="21">
        <v>12</v>
      </c>
    </row>
    <row r="5" spans="1:2" x14ac:dyDescent="0.35">
      <c r="A5" s="20" t="s">
        <v>122</v>
      </c>
      <c r="B5" s="21">
        <v>1</v>
      </c>
    </row>
    <row r="6" spans="1:2" x14ac:dyDescent="0.35">
      <c r="A6" s="20" t="s">
        <v>124</v>
      </c>
      <c r="B6" s="21">
        <v>7</v>
      </c>
    </row>
    <row r="7" spans="1:2" x14ac:dyDescent="0.35">
      <c r="A7" s="20" t="s">
        <v>136</v>
      </c>
      <c r="B7" s="21">
        <v>1</v>
      </c>
    </row>
    <row r="8" spans="1:2" x14ac:dyDescent="0.35">
      <c r="A8" s="20" t="s">
        <v>126</v>
      </c>
      <c r="B8" s="21">
        <v>8</v>
      </c>
    </row>
    <row r="9" spans="1:2" x14ac:dyDescent="0.35">
      <c r="A9" s="20" t="s">
        <v>123</v>
      </c>
      <c r="B9" s="21">
        <v>2</v>
      </c>
    </row>
    <row r="10" spans="1:2" x14ac:dyDescent="0.35">
      <c r="A10" s="20" t="s">
        <v>133</v>
      </c>
      <c r="B10" s="21">
        <v>1</v>
      </c>
    </row>
    <row r="11" spans="1:2" x14ac:dyDescent="0.35">
      <c r="A11" s="20" t="s">
        <v>127</v>
      </c>
      <c r="B11" s="21">
        <v>6</v>
      </c>
    </row>
    <row r="12" spans="1:2" x14ac:dyDescent="0.35">
      <c r="A12" s="20" t="s">
        <v>131</v>
      </c>
      <c r="B12" s="21">
        <v>1</v>
      </c>
    </row>
    <row r="13" spans="1:2" x14ac:dyDescent="0.35">
      <c r="A13" s="20" t="s">
        <v>117</v>
      </c>
      <c r="B13" s="21">
        <v>2</v>
      </c>
    </row>
    <row r="14" spans="1:2" x14ac:dyDescent="0.35">
      <c r="A14" s="20" t="s">
        <v>128</v>
      </c>
      <c r="B14" s="21">
        <v>1</v>
      </c>
    </row>
    <row r="15" spans="1:2" x14ac:dyDescent="0.35">
      <c r="A15" s="20" t="s">
        <v>120</v>
      </c>
      <c r="B15" s="21">
        <v>1</v>
      </c>
    </row>
    <row r="16" spans="1:2" x14ac:dyDescent="0.35">
      <c r="A16" s="20" t="s">
        <v>191</v>
      </c>
      <c r="B16" s="21">
        <v>43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2"/>
  <sheetViews>
    <sheetView tabSelected="1" zoomScale="95" workbookViewId="0">
      <selection activeCell="O14" sqref="O14"/>
    </sheetView>
  </sheetViews>
  <sheetFormatPr defaultRowHeight="14.5" x14ac:dyDescent="0.35"/>
  <cols>
    <col min="1" max="1" width="12.36328125" customWidth="1"/>
    <col min="2" max="2" width="18" bestFit="1" customWidth="1"/>
    <col min="3" max="3" width="30.54296875" customWidth="1"/>
    <col min="4" max="7" width="4.81640625" customWidth="1"/>
    <col min="8" max="8" width="1.81640625" customWidth="1"/>
    <col min="9" max="9" width="4.08984375" customWidth="1"/>
    <col min="10" max="10" width="10.7265625" bestFit="1" customWidth="1"/>
  </cols>
  <sheetData>
    <row r="3" spans="1:3" x14ac:dyDescent="0.35">
      <c r="A3" s="19" t="s">
        <v>192</v>
      </c>
      <c r="B3" t="s">
        <v>194</v>
      </c>
      <c r="C3" t="s">
        <v>193</v>
      </c>
    </row>
    <row r="4" spans="1:3" x14ac:dyDescent="0.35">
      <c r="A4" s="20">
        <v>7.8</v>
      </c>
      <c r="B4" s="21">
        <v>1</v>
      </c>
      <c r="C4" s="21">
        <v>1</v>
      </c>
    </row>
    <row r="5" spans="1:3" x14ac:dyDescent="0.35">
      <c r="A5" s="20">
        <v>8</v>
      </c>
      <c r="B5" s="21">
        <v>1</v>
      </c>
      <c r="C5" s="21">
        <v>1</v>
      </c>
    </row>
    <row r="6" spans="1:3" x14ac:dyDescent="0.35">
      <c r="A6" s="20">
        <v>8.1999999999999993</v>
      </c>
      <c r="B6" s="21">
        <v>1</v>
      </c>
      <c r="C6" s="21">
        <v>1</v>
      </c>
    </row>
    <row r="7" spans="1:3" x14ac:dyDescent="0.35">
      <c r="A7" s="20">
        <v>8.5</v>
      </c>
      <c r="B7" s="21">
        <v>2</v>
      </c>
      <c r="C7" s="21">
        <v>2</v>
      </c>
    </row>
    <row r="8" spans="1:3" x14ac:dyDescent="0.35">
      <c r="A8" s="20">
        <v>8.6999999999999993</v>
      </c>
      <c r="B8" s="21">
        <v>2</v>
      </c>
      <c r="C8" s="21">
        <v>2</v>
      </c>
    </row>
    <row r="9" spans="1:3" x14ac:dyDescent="0.35">
      <c r="A9" s="20">
        <v>9</v>
      </c>
      <c r="B9" s="21">
        <v>1</v>
      </c>
      <c r="C9" s="21">
        <v>1</v>
      </c>
    </row>
    <row r="10" spans="1:3" x14ac:dyDescent="0.35">
      <c r="A10" s="20">
        <v>9.3000000000000007</v>
      </c>
      <c r="B10" s="21">
        <v>1</v>
      </c>
      <c r="C10" s="21">
        <v>1</v>
      </c>
    </row>
    <row r="11" spans="1:3" x14ac:dyDescent="0.35">
      <c r="A11" s="20">
        <v>9.5</v>
      </c>
      <c r="B11" s="21">
        <v>1</v>
      </c>
      <c r="C11" s="21">
        <v>1</v>
      </c>
    </row>
    <row r="12" spans="1:3" x14ac:dyDescent="0.35">
      <c r="A12" s="20" t="s">
        <v>191</v>
      </c>
      <c r="B12" s="21">
        <v>10</v>
      </c>
      <c r="C12" s="21">
        <v>10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Movies</vt:lpstr>
      <vt:lpstr>Series</vt:lpstr>
      <vt:lpstr>Chart 1</vt:lpstr>
      <vt:lpstr>Chart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2025-12-31T08:28:19Z</dcterms:modified>
</cp:coreProperties>
</file>